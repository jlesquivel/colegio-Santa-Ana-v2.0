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120" yWindow="60" windowWidth="15480" windowHeight="11640" activeTab="4"/>
  </bookViews>
  <sheets>
    <sheet name="base (2)" sheetId="6" r:id="rId1"/>
    <sheet name="MATRICULAR" sheetId="1" r:id="rId2"/>
    <sheet name="COBROS" sheetId="3" r:id="rId3"/>
    <sheet name="NOTAS" sheetId="5" r:id="rId4"/>
    <sheet name="PLANILLA" sheetId="4" r:id="rId5"/>
  </sheets>
  <definedNames>
    <definedName name="hora_prof" localSheetId="0">'base (2)'!$C$21</definedName>
    <definedName name="hora_prof" localSheetId="2">COBROS!$C$21</definedName>
    <definedName name="hora_prof" localSheetId="3">NOTAS!$C$21</definedName>
    <definedName name="hora_prof" localSheetId="4">PLANILLA!$G$1</definedName>
    <definedName name="hora_prof">MATRICULAR!$C$21</definedName>
  </definedNames>
  <calcPr calcId="124519"/>
  <pivotCaches>
    <pivotCache cacheId="0" r:id="rId6"/>
    <pivotCache cacheId="1" r:id="rId7"/>
    <pivotCache cacheId="2" r:id="rId8"/>
    <pivotCache cacheId="3" r:id="rId9"/>
    <pivotCache cacheId="12" r:id="rId10"/>
  </pivotCaches>
</workbook>
</file>

<file path=xl/calcChain.xml><?xml version="1.0" encoding="utf-8"?>
<calcChain xmlns="http://schemas.openxmlformats.org/spreadsheetml/2006/main">
  <c r="I30" i="6"/>
  <c r="I34"/>
  <c r="M36"/>
  <c r="I30" i="5"/>
  <c r="I34"/>
  <c r="M36"/>
  <c r="K30" i="4"/>
  <c r="K34"/>
  <c r="O36"/>
  <c r="I30" i="3"/>
  <c r="I34"/>
  <c r="M36"/>
  <c r="I30" i="1"/>
  <c r="I34"/>
  <c r="M36"/>
  <c r="I6" i="6"/>
  <c r="K6"/>
  <c r="M6"/>
  <c r="I7"/>
  <c r="K7"/>
  <c r="M7"/>
  <c r="I8"/>
  <c r="K8"/>
  <c r="M8"/>
  <c r="I9"/>
  <c r="K9"/>
  <c r="M9"/>
  <c r="I10"/>
  <c r="K10"/>
  <c r="M10"/>
  <c r="I6" i="5"/>
  <c r="K6"/>
  <c r="M6"/>
  <c r="I7"/>
  <c r="K7"/>
  <c r="M7"/>
  <c r="I8"/>
  <c r="K8"/>
  <c r="M8"/>
  <c r="I9"/>
  <c r="K9"/>
  <c r="M9"/>
  <c r="I10"/>
  <c r="K10"/>
  <c r="M10"/>
  <c r="I6" i="3"/>
  <c r="K6"/>
  <c r="M6"/>
  <c r="I7"/>
  <c r="K7"/>
  <c r="M7"/>
  <c r="I8"/>
  <c r="K8"/>
  <c r="M8"/>
  <c r="I9"/>
  <c r="K9"/>
  <c r="M9"/>
  <c r="I10"/>
  <c r="K10"/>
  <c r="M10"/>
  <c r="M7" i="1"/>
  <c r="M8"/>
  <c r="M9"/>
  <c r="M10"/>
  <c r="M6"/>
  <c r="K7"/>
  <c r="K8"/>
  <c r="K9"/>
  <c r="K10"/>
  <c r="K6"/>
  <c r="I7"/>
  <c r="I8"/>
  <c r="I9"/>
  <c r="I10"/>
  <c r="I6"/>
  <c r="O6"/>
  <c r="O10"/>
  <c r="O9"/>
  <c r="O8"/>
  <c r="O7"/>
  <c r="O10" i="3"/>
  <c r="O9"/>
  <c r="O8"/>
  <c r="O7"/>
  <c r="O6"/>
  <c r="O12"/>
  <c r="O10" i="5"/>
  <c r="O9"/>
  <c r="O8"/>
  <c r="O7"/>
  <c r="O6"/>
  <c r="O12"/>
  <c r="O10" i="6"/>
  <c r="O9"/>
  <c r="O8"/>
  <c r="O7"/>
  <c r="O6"/>
  <c r="O12"/>
  <c r="M34"/>
  <c r="I36"/>
  <c r="I40"/>
  <c r="M34" i="5"/>
  <c r="I36"/>
  <c r="I40"/>
  <c r="M34" i="3"/>
  <c r="I36"/>
  <c r="I40"/>
  <c r="O12" i="1"/>
  <c r="I36"/>
  <c r="I40"/>
  <c r="M34"/>
  <c r="K6" i="4"/>
  <c r="M6"/>
  <c r="O6"/>
  <c r="K7"/>
  <c r="M7"/>
  <c r="O7"/>
  <c r="K8"/>
  <c r="M8"/>
  <c r="O8"/>
  <c r="K9"/>
  <c r="M9"/>
  <c r="O9"/>
  <c r="K10"/>
  <c r="M10"/>
  <c r="O10"/>
  <c r="Q10" l="1"/>
  <c r="Q9"/>
  <c r="Q8"/>
  <c r="Q7"/>
  <c r="Q6"/>
  <c r="Q12" s="1"/>
  <c r="O34" l="1"/>
  <c r="K36"/>
  <c r="K40" s="1"/>
</calcChain>
</file>

<file path=xl/sharedStrings.xml><?xml version="1.0" encoding="utf-8"?>
<sst xmlns="http://schemas.openxmlformats.org/spreadsheetml/2006/main" count="531" uniqueCount="132">
  <si>
    <t>ESTIMACION DE PUNTOS DE FUNCION</t>
  </si>
  <si>
    <t>DESCRIPCION</t>
  </si>
  <si>
    <t>COMPEJIDAD</t>
  </si>
  <si>
    <t xml:space="preserve">BAJA </t>
  </si>
  <si>
    <t xml:space="preserve">MEDIA </t>
  </si>
  <si>
    <t>ALTA</t>
  </si>
  <si>
    <t>TOTAL</t>
  </si>
  <si>
    <t>Total puntos sin ajustar</t>
  </si>
  <si>
    <t>Comunicaciones de datos</t>
  </si>
  <si>
    <t>Configuración de gran uso</t>
  </si>
  <si>
    <t>Velocidad de transacción</t>
  </si>
  <si>
    <t>Eficacia de usuario final</t>
  </si>
  <si>
    <t>Procesado complejo</t>
  </si>
  <si>
    <t>Facilidad de instalación</t>
  </si>
  <si>
    <t>Varios sitios</t>
  </si>
  <si>
    <t>Rendimiento</t>
  </si>
  <si>
    <t>Funciones distribuidas</t>
  </si>
  <si>
    <t>Introducción de datos en línea</t>
  </si>
  <si>
    <t>Actualización en línea</t>
  </si>
  <si>
    <t>Reusabilidad</t>
  </si>
  <si>
    <t>Facilidad de manejo</t>
  </si>
  <si>
    <t>Ampliabilidad</t>
  </si>
  <si>
    <t>0-5</t>
  </si>
  <si>
    <t>COMPLEJIDAD DE PROCESADO</t>
  </si>
  <si>
    <t>Complejidad de procesado ajustada (PCA)</t>
  </si>
  <si>
    <t>Total de puntos de función ajustados (TAFP):</t>
  </si>
  <si>
    <t>COSTO POR PUNTO</t>
  </si>
  <si>
    <t>COMPLEJIDAD</t>
  </si>
  <si>
    <t>BAJA</t>
  </si>
  <si>
    <t>TIPO</t>
  </si>
  <si>
    <t>ENTRADA</t>
  </si>
  <si>
    <t>ARCHIVO</t>
  </si>
  <si>
    <t>SALIDA</t>
  </si>
  <si>
    <t>Cuenta de TIPO</t>
  </si>
  <si>
    <t>Total general</t>
  </si>
  <si>
    <t>CONSULTA</t>
  </si>
  <si>
    <t>INTERFACE</t>
  </si>
  <si>
    <t>PRINCIPAL</t>
  </si>
  <si>
    <t>MEDIA</t>
  </si>
  <si>
    <t>ESTUDIANTES</t>
  </si>
  <si>
    <t>MATRICULA</t>
  </si>
  <si>
    <t>NIVELES</t>
  </si>
  <si>
    <t>FOTO</t>
  </si>
  <si>
    <t>LISTA CLASE</t>
  </si>
  <si>
    <t>LISTA INS</t>
  </si>
  <si>
    <t>LISTADO GENERAL</t>
  </si>
  <si>
    <t>LISTADO BINGO</t>
  </si>
  <si>
    <t>LISTADO X FAMILIA</t>
  </si>
  <si>
    <t>MIGRACION ESTUDI</t>
  </si>
  <si>
    <t>COBROS</t>
  </si>
  <si>
    <t>CUOTAS</t>
  </si>
  <si>
    <t>ESTADO CUENTA</t>
  </si>
  <si>
    <t>CANCELA COBROS</t>
  </si>
  <si>
    <t>GENERA COBROS</t>
  </si>
  <si>
    <t>APLICAR PAGOS</t>
  </si>
  <si>
    <t>CATEGORIAS</t>
  </si>
  <si>
    <t>EMPLEADOS</t>
  </si>
  <si>
    <t>PUESTOS</t>
  </si>
  <si>
    <t>RUBROS</t>
  </si>
  <si>
    <t>PAGOS</t>
  </si>
  <si>
    <t>PAGOS DETALLE</t>
  </si>
  <si>
    <t>BNCR</t>
  </si>
  <si>
    <t>REP MOROSIDAD</t>
  </si>
  <si>
    <t>REP INGRESOS</t>
  </si>
  <si>
    <t>REP CARTAS COBRO</t>
  </si>
  <si>
    <t>ausencias</t>
  </si>
  <si>
    <t>rep ausencia p alumno</t>
  </si>
  <si>
    <t>rep ausencia p grupo</t>
  </si>
  <si>
    <t>Formulario Notas</t>
  </si>
  <si>
    <t>Asigna Profesores</t>
  </si>
  <si>
    <t>Generdor Discos</t>
  </si>
  <si>
    <t>Registra Notas</t>
  </si>
  <si>
    <t>Notas</t>
  </si>
  <si>
    <t>Pofesores_Cursos</t>
  </si>
  <si>
    <t>materias</t>
  </si>
  <si>
    <t>genera_notas</t>
  </si>
  <si>
    <t>reporte notas</t>
  </si>
  <si>
    <t>reporte profesores cursos</t>
  </si>
  <si>
    <t>Formulario Traslado</t>
  </si>
  <si>
    <t>Reporte Traslado</t>
  </si>
  <si>
    <t>Formulario Reporte</t>
  </si>
  <si>
    <t>reporte 9o</t>
  </si>
  <si>
    <t>reporte 11o</t>
  </si>
  <si>
    <t>Constancias</t>
  </si>
  <si>
    <t>traslados</t>
  </si>
  <si>
    <t>MODULO</t>
  </si>
  <si>
    <t>NOTAS</t>
  </si>
  <si>
    <t>Notas concentrado prof</t>
  </si>
  <si>
    <t>Notas concentrado trimestres</t>
  </si>
  <si>
    <t>FOTOS</t>
  </si>
  <si>
    <t>CONTRATOS</t>
  </si>
  <si>
    <t>EMPLEADO-RUBRO</t>
  </si>
  <si>
    <t>PERFIL RUBRO</t>
  </si>
  <si>
    <t>PLANILLA</t>
  </si>
  <si>
    <t>RUBRO PERFIL</t>
  </si>
  <si>
    <t>DEPARTAMENTO</t>
  </si>
  <si>
    <t>TABLA VALORES</t>
  </si>
  <si>
    <t>frmContrato</t>
  </si>
  <si>
    <t>frmCategoria</t>
  </si>
  <si>
    <t>frmDepartamento</t>
  </si>
  <si>
    <t>frmNomina</t>
  </si>
  <si>
    <t>frmPerfiles</t>
  </si>
  <si>
    <t>frmPlanilla</t>
  </si>
  <si>
    <t>frmPuestos</t>
  </si>
  <si>
    <t>frmReportes</t>
  </si>
  <si>
    <t>rptPlanilla</t>
  </si>
  <si>
    <t>rptListacontratos</t>
  </si>
  <si>
    <t>ELEMENTOS DESARROLLADOS EN EL SISTEMA</t>
  </si>
  <si>
    <t>RESUMEN DE ELEMENTOS</t>
  </si>
  <si>
    <t>archivo para banco</t>
  </si>
  <si>
    <t>frmContrato - pagos</t>
  </si>
  <si>
    <t>fmContrato - Contrato</t>
  </si>
  <si>
    <t>frmPlanilla - consulta</t>
  </si>
  <si>
    <t>COLEGIATURA</t>
  </si>
  <si>
    <t>rptFPMN</t>
  </si>
  <si>
    <t>rtpFPMN - Reparto</t>
  </si>
  <si>
    <t>CONFIGURACION</t>
  </si>
  <si>
    <t>CONFIGURACIONVALORES</t>
  </si>
  <si>
    <t>frmConfiguracion</t>
  </si>
  <si>
    <t>rptFlexible</t>
  </si>
  <si>
    <t>rptColillasPago</t>
  </si>
  <si>
    <t>calculaPagos</t>
  </si>
  <si>
    <t>calculaPagosSalarios</t>
  </si>
  <si>
    <t>formulaCalcula</t>
  </si>
  <si>
    <t>formulaCalcula2</t>
  </si>
  <si>
    <t>creaPagos</t>
  </si>
  <si>
    <t>PlanillaBNCR</t>
  </si>
  <si>
    <t>OBJETO</t>
  </si>
  <si>
    <t>frmIncapacidades</t>
  </si>
  <si>
    <t>calculaIncapacidad</t>
  </si>
  <si>
    <t>rptIncapacidades</t>
  </si>
  <si>
    <t>INCAPACIDADES</t>
  </si>
</sst>
</file>

<file path=xl/styles.xml><?xml version="1.0" encoding="utf-8"?>
<styleSheet xmlns="http://schemas.openxmlformats.org/spreadsheetml/2006/main">
  <numFmts count="3">
    <numFmt numFmtId="44" formatCode="_(&quot;₡&quot;* #,##0.00_);_(&quot;₡&quot;* \(#,##0.00\);_(&quot;₡&quot;* &quot;-&quot;??_);_(@_)"/>
    <numFmt numFmtId="164" formatCode="&quot;₡&quot;#,##0.00"/>
    <numFmt numFmtId="165" formatCode="[$$-2C0A]\ #,##0.00"/>
  </numFmts>
  <fonts count="13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</font>
    <font>
      <sz val="10"/>
      <name val="Arial"/>
    </font>
    <font>
      <sz val="9"/>
      <name val="Arial Black"/>
      <family val="2"/>
    </font>
    <font>
      <sz val="10"/>
      <name val="Arial"/>
    </font>
    <font>
      <b/>
      <sz val="20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26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applyBorder="1" applyAlignment="1" applyProtection="1">
      <alignment shrinkToFit="1"/>
      <protection locked="0"/>
    </xf>
    <xf numFmtId="44" fontId="0" fillId="0" borderId="0" xfId="1" applyFont="1" applyFill="1" applyBorder="1" applyAlignment="1" applyProtection="1">
      <alignment shrinkToFit="1"/>
    </xf>
    <xf numFmtId="44" fontId="4" fillId="0" borderId="0" xfId="1" applyFont="1" applyFill="1" applyBorder="1" applyAlignment="1" applyProtection="1">
      <alignment shrinkToFit="1"/>
    </xf>
    <xf numFmtId="0" fontId="0" fillId="0" borderId="1" xfId="0" applyBorder="1" applyProtection="1">
      <protection locked="0"/>
    </xf>
    <xf numFmtId="0" fontId="0" fillId="0" borderId="0" xfId="0" applyAlignment="1" applyProtection="1">
      <alignment shrinkToFit="1"/>
    </xf>
    <xf numFmtId="0" fontId="0" fillId="0" borderId="0" xfId="0" applyFill="1" applyBorder="1" applyAlignment="1" applyProtection="1">
      <alignment shrinkToFit="1"/>
    </xf>
    <xf numFmtId="0" fontId="0" fillId="0" borderId="0" xfId="0" applyFill="1" applyBorder="1" applyProtection="1"/>
    <xf numFmtId="0" fontId="0" fillId="0" borderId="0" xfId="0" applyProtection="1"/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2" borderId="1" xfId="0" applyFill="1" applyBorder="1" applyAlignment="1" applyProtection="1">
      <alignment shrinkToFit="1"/>
    </xf>
    <xf numFmtId="0" fontId="0" fillId="0" borderId="1" xfId="0" applyBorder="1" applyProtection="1"/>
    <xf numFmtId="0" fontId="0" fillId="3" borderId="1" xfId="0" applyFill="1" applyBorder="1" applyProtection="1"/>
    <xf numFmtId="0" fontId="3" fillId="3" borderId="0" xfId="0" applyFont="1" applyFill="1" applyProtection="1"/>
    <xf numFmtId="0" fontId="0" fillId="2" borderId="1" xfId="0" applyFill="1" applyBorder="1" applyProtection="1"/>
    <xf numFmtId="0" fontId="0" fillId="0" borderId="0" xfId="0" applyFill="1" applyAlignment="1" applyProtection="1">
      <alignment shrinkToFit="1"/>
    </xf>
    <xf numFmtId="44" fontId="0" fillId="0" borderId="0" xfId="1" applyFont="1" applyFill="1" applyAlignment="1" applyProtection="1">
      <alignment shrinkToFit="1"/>
    </xf>
    <xf numFmtId="0" fontId="3" fillId="2" borderId="0" xfId="0" applyFont="1" applyFill="1" applyProtection="1"/>
    <xf numFmtId="0" fontId="0" fillId="0" borderId="0" xfId="0" applyBorder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164" fontId="0" fillId="0" borderId="0" xfId="0" applyNumberFormat="1" applyProtection="1"/>
    <xf numFmtId="165" fontId="0" fillId="0" borderId="0" xfId="0" applyNumberFormat="1" applyAlignment="1" applyProtection="1">
      <alignment horizontal="center"/>
    </xf>
    <xf numFmtId="44" fontId="0" fillId="0" borderId="0" xfId="1" applyFont="1" applyProtection="1"/>
    <xf numFmtId="44" fontId="0" fillId="0" borderId="0" xfId="1" applyFont="1" applyAlignment="1" applyProtection="1">
      <alignment shrinkToFit="1"/>
    </xf>
    <xf numFmtId="0" fontId="0" fillId="0" borderId="0" xfId="0" applyAlignment="1" applyProtection="1">
      <alignment shrinkToFit="1"/>
      <protection locked="0" hidden="1"/>
    </xf>
    <xf numFmtId="0" fontId="0" fillId="0" borderId="0" xfId="0" applyProtection="1">
      <protection locked="0" hidden="1"/>
    </xf>
    <xf numFmtId="44" fontId="0" fillId="0" borderId="0" xfId="0" applyNumberFormat="1" applyProtection="1">
      <protection locked="0" hidden="1"/>
    </xf>
    <xf numFmtId="0" fontId="0" fillId="0" borderId="2" xfId="0" pivotButton="1" applyBorder="1" applyAlignment="1" applyProtection="1">
      <alignment shrinkToFit="1"/>
      <protection locked="0" hidden="1"/>
    </xf>
    <xf numFmtId="0" fontId="0" fillId="0" borderId="3" xfId="0" applyBorder="1" applyAlignment="1" applyProtection="1">
      <alignment shrinkToFit="1"/>
      <protection locked="0" hidden="1"/>
    </xf>
    <xf numFmtId="0" fontId="0" fillId="0" borderId="2" xfId="0" applyBorder="1" applyAlignment="1" applyProtection="1">
      <alignment shrinkToFit="1"/>
      <protection locked="0" hidden="1"/>
    </xf>
    <xf numFmtId="0" fontId="0" fillId="0" borderId="4" xfId="0" applyBorder="1" applyAlignment="1" applyProtection="1">
      <alignment shrinkToFit="1"/>
      <protection locked="0" hidden="1"/>
    </xf>
    <xf numFmtId="0" fontId="6" fillId="0" borderId="2" xfId="0" applyNumberFormat="1" applyFont="1" applyBorder="1" applyAlignment="1" applyProtection="1">
      <alignment horizontal="center" shrinkToFit="1"/>
      <protection locked="0" hidden="1"/>
    </xf>
    <xf numFmtId="0" fontId="6" fillId="0" borderId="4" xfId="0" applyNumberFormat="1" applyFont="1" applyBorder="1" applyAlignment="1" applyProtection="1">
      <alignment horizontal="center" shrinkToFit="1"/>
      <protection locked="0" hidden="1"/>
    </xf>
    <xf numFmtId="0" fontId="0" fillId="0" borderId="5" xfId="0" applyBorder="1" applyAlignment="1" applyProtection="1">
      <alignment shrinkToFit="1"/>
      <protection locked="0" hidden="1"/>
    </xf>
    <xf numFmtId="0" fontId="7" fillId="0" borderId="5" xfId="0" applyNumberFormat="1" applyFont="1" applyBorder="1" applyAlignment="1" applyProtection="1">
      <alignment horizontal="center" shrinkToFit="1"/>
      <protection locked="0" hidden="1"/>
    </xf>
    <xf numFmtId="0" fontId="7" fillId="0" borderId="6" xfId="0" applyNumberFormat="1" applyFont="1" applyBorder="1" applyAlignment="1" applyProtection="1">
      <alignment horizontal="center" shrinkToFit="1"/>
      <protection locked="0" hidden="1"/>
    </xf>
    <xf numFmtId="0" fontId="8" fillId="2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0" fillId="0" borderId="7" xfId="0" applyBorder="1" applyAlignment="1" applyProtection="1">
      <alignment shrinkToFit="1"/>
      <protection locked="0" hidden="1"/>
    </xf>
    <xf numFmtId="0" fontId="0" fillId="0" borderId="8" xfId="0" applyBorder="1" applyAlignment="1" applyProtection="1">
      <alignment shrinkToFit="1"/>
      <protection locked="0" hidden="1"/>
    </xf>
    <xf numFmtId="0" fontId="6" fillId="0" borderId="8" xfId="0" applyNumberFormat="1" applyFont="1" applyBorder="1" applyAlignment="1" applyProtection="1">
      <alignment horizontal="center" shrinkToFit="1"/>
      <protection locked="0" hidden="1"/>
    </xf>
    <xf numFmtId="0" fontId="0" fillId="0" borderId="9" xfId="0" applyBorder="1" applyAlignment="1" applyProtection="1">
      <alignment shrinkToFit="1"/>
      <protection locked="0" hidden="1"/>
    </xf>
    <xf numFmtId="0" fontId="6" fillId="0" borderId="9" xfId="0" applyNumberFormat="1" applyFont="1" applyBorder="1" applyAlignment="1" applyProtection="1">
      <alignment horizontal="center" shrinkToFit="1"/>
      <protection locked="0" hidden="1"/>
    </xf>
    <xf numFmtId="0" fontId="6" fillId="0" borderId="0" xfId="0" applyNumberFormat="1" applyFont="1" applyAlignment="1" applyProtection="1">
      <alignment horizontal="center" shrinkToFit="1"/>
      <protection locked="0" hidden="1"/>
    </xf>
    <xf numFmtId="0" fontId="6" fillId="0" borderId="10" xfId="0" applyNumberFormat="1" applyFont="1" applyBorder="1" applyAlignment="1" applyProtection="1">
      <alignment horizontal="center" shrinkToFit="1"/>
      <protection locked="0" hidden="1"/>
    </xf>
    <xf numFmtId="0" fontId="7" fillId="0" borderId="11" xfId="0" applyNumberFormat="1" applyFont="1" applyBorder="1" applyAlignment="1" applyProtection="1">
      <alignment horizontal="center" shrinkToFit="1"/>
      <protection locked="0" hidden="1"/>
    </xf>
    <xf numFmtId="44" fontId="1" fillId="0" borderId="0" xfId="1" applyFill="1" applyBorder="1" applyAlignment="1" applyProtection="1">
      <alignment shrinkToFit="1"/>
    </xf>
    <xf numFmtId="44" fontId="1" fillId="0" borderId="0" xfId="1" applyFill="1" applyAlignment="1" applyProtection="1">
      <alignment shrinkToFit="1"/>
    </xf>
    <xf numFmtId="44" fontId="1" fillId="0" borderId="0" xfId="1" applyProtection="1"/>
    <xf numFmtId="44" fontId="1" fillId="0" borderId="0" xfId="1" applyAlignment="1" applyProtection="1">
      <alignment shrinkToFit="1"/>
    </xf>
    <xf numFmtId="0" fontId="9" fillId="0" borderId="5" xfId="0" applyNumberFormat="1" applyFont="1" applyBorder="1" applyAlignment="1" applyProtection="1">
      <alignment horizontal="center" shrinkToFit="1"/>
      <protection locked="0" hidden="1"/>
    </xf>
    <xf numFmtId="0" fontId="9" fillId="0" borderId="11" xfId="0" applyNumberFormat="1" applyFont="1" applyBorder="1" applyAlignment="1" applyProtection="1">
      <alignment horizontal="center" shrinkToFit="1"/>
      <protection locked="0" hidden="1"/>
    </xf>
    <xf numFmtId="0" fontId="9" fillId="0" borderId="6" xfId="0" applyNumberFormat="1" applyFont="1" applyBorder="1" applyAlignment="1" applyProtection="1">
      <alignment horizontal="center" shrinkToFit="1"/>
      <protection locked="0" hidden="1"/>
    </xf>
    <xf numFmtId="0" fontId="0" fillId="0" borderId="12" xfId="0" applyBorder="1" applyAlignment="1" applyProtection="1">
      <alignment shrinkToFi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0" fillId="0" borderId="0" xfId="0" applyAlignment="1" applyProtection="1">
      <alignment horizontal="right" shrinkToFit="1"/>
    </xf>
    <xf numFmtId="0" fontId="10" fillId="0" borderId="0" xfId="0" applyFont="1" applyAlignment="1" applyProtection="1">
      <alignment shrinkToFit="1"/>
    </xf>
    <xf numFmtId="0" fontId="4" fillId="0" borderId="0" xfId="0" applyFont="1" applyBorder="1" applyAlignment="1" applyProtection="1">
      <alignment horizontal="center" shrinkToFit="1"/>
    </xf>
    <xf numFmtId="0" fontId="0" fillId="0" borderId="0" xfId="0" applyBorder="1" applyAlignment="1" applyProtection="1">
      <alignment shrinkToFit="1"/>
      <protection locked="0"/>
    </xf>
    <xf numFmtId="0" fontId="11" fillId="0" borderId="0" xfId="0" applyFont="1" applyBorder="1" applyAlignment="1" applyProtection="1">
      <alignment shrinkToFit="1"/>
      <protection locked="0"/>
    </xf>
    <xf numFmtId="0" fontId="12" fillId="0" borderId="1" xfId="0" applyFont="1" applyBorder="1" applyAlignment="1" applyProtection="1">
      <alignment shrinkToFit="1"/>
      <protection locked="0"/>
    </xf>
    <xf numFmtId="0" fontId="12" fillId="0" borderId="1" xfId="0" applyFont="1" applyBorder="1" applyProtection="1">
      <protection locked="0"/>
    </xf>
    <xf numFmtId="0" fontId="3" fillId="0" borderId="2" xfId="0" applyNumberFormat="1" applyFont="1" applyBorder="1" applyAlignment="1" applyProtection="1">
      <alignment horizontal="center" shrinkToFit="1"/>
      <protection locked="0" hidden="1"/>
    </xf>
    <xf numFmtId="0" fontId="3" fillId="0" borderId="8" xfId="0" applyNumberFormat="1" applyFont="1" applyBorder="1" applyAlignment="1" applyProtection="1">
      <alignment horizontal="center" shrinkToFit="1"/>
      <protection locked="0" hidden="1"/>
    </xf>
    <xf numFmtId="0" fontId="3" fillId="0" borderId="4" xfId="0" applyNumberFormat="1" applyFont="1" applyBorder="1" applyAlignment="1" applyProtection="1">
      <alignment horizontal="center" shrinkToFit="1"/>
      <protection locked="0" hidden="1"/>
    </xf>
    <xf numFmtId="0" fontId="3" fillId="0" borderId="9" xfId="0" applyNumberFormat="1" applyFont="1" applyBorder="1" applyAlignment="1" applyProtection="1">
      <alignment horizontal="center" shrinkToFit="1"/>
      <protection locked="0" hidden="1"/>
    </xf>
    <xf numFmtId="0" fontId="3" fillId="0" borderId="0" xfId="0" applyNumberFormat="1" applyFont="1" applyAlignment="1" applyProtection="1">
      <alignment horizontal="center" shrinkToFit="1"/>
      <protection locked="0" hidden="1"/>
    </xf>
    <xf numFmtId="0" fontId="3" fillId="0" borderId="10" xfId="0" applyNumberFormat="1" applyFont="1" applyBorder="1" applyAlignment="1" applyProtection="1">
      <alignment horizontal="center" shrinkToFit="1"/>
      <protection locked="0" hidden="1"/>
    </xf>
    <xf numFmtId="0" fontId="11" fillId="0" borderId="5" xfId="0" applyNumberFormat="1" applyFont="1" applyBorder="1" applyAlignment="1" applyProtection="1">
      <alignment horizontal="center" shrinkToFit="1"/>
      <protection locked="0" hidden="1"/>
    </xf>
    <xf numFmtId="0" fontId="11" fillId="0" borderId="11" xfId="0" applyNumberFormat="1" applyFont="1" applyBorder="1" applyAlignment="1" applyProtection="1">
      <alignment horizontal="center" shrinkToFit="1"/>
      <protection locked="0" hidden="1"/>
    </xf>
    <xf numFmtId="0" fontId="11" fillId="0" borderId="6" xfId="0" applyNumberFormat="1" applyFont="1" applyBorder="1" applyAlignment="1" applyProtection="1">
      <alignment horizontal="center" shrinkToFit="1"/>
      <protection locked="0" hidden="1"/>
    </xf>
    <xf numFmtId="0" fontId="11" fillId="0" borderId="2" xfId="0" pivotButton="1" applyFont="1" applyBorder="1" applyAlignment="1" applyProtection="1">
      <alignment shrinkToFit="1"/>
      <protection locked="0" hidden="1"/>
    </xf>
    <xf numFmtId="0" fontId="11" fillId="2" borderId="1" xfId="0" applyFont="1" applyFill="1" applyBorder="1" applyAlignment="1" applyProtection="1">
      <alignment shrinkToFit="1"/>
    </xf>
    <xf numFmtId="164" fontId="5" fillId="0" borderId="0" xfId="0" applyNumberFormat="1" applyFont="1" applyAlignment="1" applyProtection="1">
      <alignment horizontal="right" shrinkToFit="1"/>
    </xf>
    <xf numFmtId="0" fontId="0" fillId="0" borderId="0" xfId="0" applyAlignment="1" applyProtection="1">
      <alignment horizontal="center"/>
    </xf>
    <xf numFmtId="0" fontId="0" fillId="4" borderId="13" xfId="0" applyFill="1" applyBorder="1" applyAlignment="1" applyProtection="1">
      <alignment horizontal="center"/>
    </xf>
    <xf numFmtId="0" fontId="0" fillId="4" borderId="14" xfId="0" applyFill="1" applyBorder="1" applyAlignment="1" applyProtection="1">
      <alignment horizontal="center"/>
    </xf>
    <xf numFmtId="0" fontId="0" fillId="4" borderId="15" xfId="0" applyFill="1" applyBorder="1" applyAlignment="1" applyProtection="1">
      <alignment horizont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right"/>
    </xf>
    <xf numFmtId="164" fontId="0" fillId="2" borderId="0" xfId="0" applyNumberFormat="1" applyFill="1" applyAlignment="1" applyProtection="1">
      <alignment horizontal="right"/>
    </xf>
    <xf numFmtId="164" fontId="5" fillId="0" borderId="0" xfId="0" applyNumberFormat="1" applyFont="1" applyAlignment="1" applyProtection="1">
      <alignment horizontal="right"/>
    </xf>
    <xf numFmtId="0" fontId="4" fillId="0" borderId="0" xfId="0" applyFont="1" applyFill="1" applyAlignment="1" applyProtection="1">
      <alignment horizontal="center" shrinkToFit="1"/>
    </xf>
    <xf numFmtId="0" fontId="4" fillId="0" borderId="18" xfId="0" applyFont="1" applyBorder="1" applyAlignment="1" applyProtection="1">
      <alignment horizontal="center" shrinkToFit="1"/>
    </xf>
  </cellXfs>
  <cellStyles count="2">
    <cellStyle name="Moneda" xfId="1" builtinId="4"/>
    <cellStyle name="Normal" xfId="0" builtinId="0"/>
  </cellStyles>
  <dxfs count="26">
    <dxf>
      <font>
        <sz val="10"/>
      </font>
    </dxf>
    <dxf>
      <protection locked="0" hidden="1"/>
    </dxf>
    <dxf>
      <font>
        <b val="0"/>
      </font>
    </dxf>
    <dxf>
      <font>
        <b/>
      </font>
    </dxf>
    <dxf>
      <alignment horizontal="center" readingOrder="0"/>
    </dxf>
    <dxf>
      <alignment shrinkToFit="1" readingOrder="0"/>
    </dxf>
    <dxf>
      <protection locked="0" hidden="1"/>
    </dxf>
    <dxf>
      <font>
        <b val="0"/>
      </font>
    </dxf>
    <dxf>
      <font>
        <b/>
      </font>
    </dxf>
    <dxf>
      <alignment horizontal="center" readingOrder="0"/>
    </dxf>
    <dxf>
      <alignment shrinkToFit="1" readingOrder="0"/>
    </dxf>
    <dxf>
      <protection locked="0" hidden="1"/>
    </dxf>
    <dxf>
      <font>
        <b val="0"/>
      </font>
    </dxf>
    <dxf>
      <font>
        <b/>
      </font>
    </dxf>
    <dxf>
      <alignment horizontal="center" readingOrder="0"/>
    </dxf>
    <dxf>
      <alignment shrinkToFit="1" readingOrder="0"/>
    </dxf>
    <dxf>
      <protection locked="0" hidden="1"/>
    </dxf>
    <dxf>
      <font>
        <b val="0"/>
      </font>
    </dxf>
    <dxf>
      <font>
        <b/>
      </font>
    </dxf>
    <dxf>
      <alignment horizontal="center" readingOrder="0"/>
    </dxf>
    <dxf>
      <alignment shrinkToFit="1" readingOrder="0"/>
    </dxf>
    <dxf>
      <protection locked="0" hidden="1"/>
    </dxf>
    <dxf>
      <font>
        <b val="0"/>
      </font>
    </dxf>
    <dxf>
      <font>
        <b/>
      </font>
    </dxf>
    <dxf>
      <alignment horizontal="center" readingOrder="0"/>
    </dxf>
    <dxf>
      <alignment shrinkToFi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e Luis Esquivel" refreshedDate="38741.122232754627" createdVersion="1" refreshedVersion="2" recordCount="18" upgradeOnRefresh="1">
  <cacheSource type="worksheet">
    <worksheetSource ref="B2:C20" sheet="MATRICULAR"/>
  </cacheSource>
  <cacheFields count="2">
    <cacheField name="TIPO" numFmtId="0">
      <sharedItems containsBlank="1" count="6">
        <s v="ENTRADA"/>
        <s v="ARCHIVO"/>
        <s v="SALIDA"/>
        <s v="INTERFACE"/>
        <m/>
        <s v="CONSULTA" u="1"/>
      </sharedItems>
    </cacheField>
    <cacheField name="COMPLEJIDAD" numFmtId="0">
      <sharedItems containsBlank="1" count="4">
        <s v="MEDIA"/>
        <s v="ALTA"/>
        <s v="BAJA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se Luis Esquivel" refreshedDate="38741.13473946759" createdVersion="1" refreshedVersion="2" recordCount="18" upgradeOnRefresh="1">
  <cacheSource type="worksheet">
    <worksheetSource ref="B2:C20" sheet="COBROS"/>
  </cacheSource>
  <cacheFields count="2">
    <cacheField name="TIPO" numFmtId="0">
      <sharedItems containsBlank="1" count="6">
        <s v="ENTRADA"/>
        <s v="ARCHIVO"/>
        <s v="INTERFACE"/>
        <s v="SALIDA"/>
        <m/>
        <s v="CONSULTA" u="1"/>
      </sharedItems>
    </cacheField>
    <cacheField name="COMPLEJIDAD" numFmtId="0">
      <sharedItems containsBlank="1" count="4">
        <s v="MEDIA"/>
        <s v="ALTA"/>
        <m/>
        <s v="BAJA" u="1"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ose Luis" refreshedDate="38836.620725347224" createdVersion="1" refreshedVersion="2" recordCount="18" upgradeOnRefresh="1">
  <cacheSource type="worksheet">
    <worksheetSource ref="B2:C20" sheet="NOTAS"/>
  </cacheSource>
  <cacheFields count="2">
    <cacheField name="TIPO" numFmtId="0">
      <sharedItems containsBlank="1" count="6">
        <s v="ARCHIVO"/>
        <s v="ENTRADA"/>
        <s v="INTERFACE"/>
        <s v="SALIDA"/>
        <m u="1"/>
        <s v="CONSULTA" u="1"/>
      </sharedItems>
    </cacheField>
    <cacheField name="COMPLEJIDAD" numFmtId="0">
      <sharedItems containsBlank="1" count="4">
        <s v="MEDIA"/>
        <s v="BAJA"/>
        <s v="ALTA"/>
        <m u="1"/>
      </sharedItems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Jose Luis" refreshedDate="38857.485885300928" createdVersion="1" refreshedVersion="2" recordCount="25" upgradeOnRefresh="1">
  <cacheSource type="worksheet">
    <worksheetSource ref="B2:C27" sheet="NOTAS"/>
  </cacheSource>
  <cacheFields count="2">
    <cacheField name="TIPO" numFmtId="0">
      <sharedItems containsBlank="1" count="6">
        <s v="ARCHIVO"/>
        <s v="ENTRADA"/>
        <s v="INTERFACE"/>
        <s v="SALIDA"/>
        <m/>
        <s v="CONSULTA" u="1"/>
      </sharedItems>
    </cacheField>
    <cacheField name="COMPLEJIDAD" numFmtId="0">
      <sharedItems containsBlank="1" count="4">
        <s v="MEDIA"/>
        <s v="BAJA"/>
        <s v="ALTA"/>
        <m/>
      </sharedItems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Jose Luis" refreshedDate="39168.716905671296" createdVersion="3" refreshedVersion="3" recordCount="47">
  <cacheSource type="worksheet">
    <worksheetSource ref="B2:C49" sheet="PLANILLA"/>
  </cacheSource>
  <cacheFields count="2">
    <cacheField name="TIPO" numFmtId="0">
      <sharedItems containsBlank="1" count="6">
        <s v="ARCHIVO"/>
        <s v="ENTRADA"/>
        <s v="CONSULTA"/>
        <s v="SALIDA"/>
        <s v="INTERFACE"/>
        <m/>
      </sharedItems>
    </cacheField>
    <cacheField name="COMPLEJIDAD" numFmtId="0">
      <sharedItems containsBlank="1" count="4">
        <s v="MEDIA"/>
        <s v="BAJA"/>
        <s v="ALTA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</r>
  <r>
    <x v="0"/>
    <x v="0"/>
  </r>
  <r>
    <x v="0"/>
    <x v="1"/>
  </r>
  <r>
    <x v="0"/>
    <x v="2"/>
  </r>
  <r>
    <x v="1"/>
    <x v="0"/>
  </r>
  <r>
    <x v="1"/>
    <x v="0"/>
  </r>
  <r>
    <x v="1"/>
    <x v="0"/>
  </r>
  <r>
    <x v="1"/>
    <x v="0"/>
  </r>
  <r>
    <x v="2"/>
    <x v="0"/>
  </r>
  <r>
    <x v="2"/>
    <x v="0"/>
  </r>
  <r>
    <x v="2"/>
    <x v="2"/>
  </r>
  <r>
    <x v="2"/>
    <x v="2"/>
  </r>
  <r>
    <x v="2"/>
    <x v="2"/>
  </r>
  <r>
    <x v="2"/>
    <x v="0"/>
  </r>
  <r>
    <x v="3"/>
    <x v="1"/>
  </r>
  <r>
    <x v="4"/>
    <x v="3"/>
  </r>
  <r>
    <x v="4"/>
    <x v="3"/>
  </r>
  <r>
    <x v="4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x v="0"/>
    <x v="0"/>
  </r>
  <r>
    <x v="0"/>
    <x v="0"/>
  </r>
  <r>
    <x v="0"/>
    <x v="1"/>
  </r>
  <r>
    <x v="1"/>
    <x v="0"/>
  </r>
  <r>
    <x v="1"/>
    <x v="0"/>
  </r>
  <r>
    <x v="1"/>
    <x v="1"/>
  </r>
  <r>
    <x v="1"/>
    <x v="1"/>
  </r>
  <r>
    <x v="2"/>
    <x v="1"/>
  </r>
  <r>
    <x v="2"/>
    <x v="1"/>
  </r>
  <r>
    <x v="3"/>
    <x v="0"/>
  </r>
  <r>
    <x v="3"/>
    <x v="0"/>
  </r>
  <r>
    <x v="3"/>
    <x v="0"/>
  </r>
  <r>
    <x v="4"/>
    <x v="2"/>
  </r>
  <r>
    <x v="4"/>
    <x v="2"/>
  </r>
  <r>
    <x v="4"/>
    <x v="2"/>
  </r>
  <r>
    <x v="4"/>
    <x v="2"/>
  </r>
  <r>
    <x v="4"/>
    <x v="2"/>
  </r>
  <r>
    <x v="4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8">
  <r>
    <x v="0"/>
    <x v="0"/>
  </r>
  <r>
    <x v="0"/>
    <x v="0"/>
  </r>
  <r>
    <x v="0"/>
    <x v="1"/>
  </r>
  <r>
    <x v="0"/>
    <x v="1"/>
  </r>
  <r>
    <x v="1"/>
    <x v="2"/>
  </r>
  <r>
    <x v="1"/>
    <x v="0"/>
  </r>
  <r>
    <x v="1"/>
    <x v="0"/>
  </r>
  <r>
    <x v="1"/>
    <x v="0"/>
  </r>
  <r>
    <x v="2"/>
    <x v="2"/>
  </r>
  <r>
    <x v="2"/>
    <x v="0"/>
  </r>
  <r>
    <x v="3"/>
    <x v="0"/>
  </r>
  <r>
    <x v="3"/>
    <x v="1"/>
  </r>
  <r>
    <x v="1"/>
    <x v="0"/>
  </r>
  <r>
    <x v="3"/>
    <x v="0"/>
  </r>
  <r>
    <x v="1"/>
    <x v="1"/>
  </r>
  <r>
    <x v="3"/>
    <x v="1"/>
  </r>
  <r>
    <x v="3"/>
    <x v="1"/>
  </r>
  <r>
    <x v="3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5">
  <r>
    <x v="0"/>
    <x v="0"/>
  </r>
  <r>
    <x v="0"/>
    <x v="0"/>
  </r>
  <r>
    <x v="0"/>
    <x v="1"/>
  </r>
  <r>
    <x v="0"/>
    <x v="1"/>
  </r>
  <r>
    <x v="1"/>
    <x v="2"/>
  </r>
  <r>
    <x v="1"/>
    <x v="0"/>
  </r>
  <r>
    <x v="1"/>
    <x v="0"/>
  </r>
  <r>
    <x v="1"/>
    <x v="0"/>
  </r>
  <r>
    <x v="2"/>
    <x v="2"/>
  </r>
  <r>
    <x v="2"/>
    <x v="0"/>
  </r>
  <r>
    <x v="3"/>
    <x v="0"/>
  </r>
  <r>
    <x v="3"/>
    <x v="1"/>
  </r>
  <r>
    <x v="1"/>
    <x v="0"/>
  </r>
  <r>
    <x v="3"/>
    <x v="0"/>
  </r>
  <r>
    <x v="1"/>
    <x v="1"/>
  </r>
  <r>
    <x v="3"/>
    <x v="1"/>
  </r>
  <r>
    <x v="3"/>
    <x v="1"/>
  </r>
  <r>
    <x v="3"/>
    <x v="1"/>
  </r>
  <r>
    <x v="3"/>
    <x v="1"/>
  </r>
  <r>
    <x v="3"/>
    <x v="1"/>
  </r>
  <r>
    <x v="4"/>
    <x v="3"/>
  </r>
  <r>
    <x v="4"/>
    <x v="3"/>
  </r>
  <r>
    <x v="4"/>
    <x v="3"/>
  </r>
  <r>
    <x v="4"/>
    <x v="3"/>
  </r>
  <r>
    <x v="4"/>
    <x v="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47"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1"/>
  </r>
  <r>
    <x v="0"/>
    <x v="1"/>
  </r>
  <r>
    <x v="0"/>
    <x v="0"/>
  </r>
  <r>
    <x v="0"/>
    <x v="2"/>
  </r>
  <r>
    <x v="0"/>
    <x v="1"/>
  </r>
  <r>
    <x v="0"/>
    <x v="2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2"/>
    <x v="0"/>
  </r>
  <r>
    <x v="1"/>
    <x v="0"/>
  </r>
  <r>
    <x v="1"/>
    <x v="0"/>
  </r>
  <r>
    <x v="1"/>
    <x v="0"/>
  </r>
  <r>
    <x v="1"/>
    <x v="2"/>
  </r>
  <r>
    <x v="1"/>
    <x v="2"/>
  </r>
  <r>
    <x v="1"/>
    <x v="2"/>
  </r>
  <r>
    <x v="1"/>
    <x v="0"/>
  </r>
  <r>
    <x v="1"/>
    <x v="0"/>
  </r>
  <r>
    <x v="2"/>
    <x v="0"/>
  </r>
  <r>
    <x v="1"/>
    <x v="0"/>
  </r>
  <r>
    <x v="1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4"/>
    <x v="0"/>
  </r>
  <r>
    <x v="4"/>
    <x v="0"/>
  </r>
  <r>
    <x v="4"/>
    <x v="2"/>
  </r>
  <r>
    <x v="4"/>
    <x v="0"/>
  </r>
  <r>
    <x v="4"/>
    <x v="0"/>
  </r>
  <r>
    <x v="4"/>
    <x v="0"/>
  </r>
  <r>
    <x v="4"/>
    <x v="0"/>
  </r>
  <r>
    <x v="4"/>
    <x v="0"/>
  </r>
  <r>
    <x v="5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la dinámica1" cacheId="2" dataOnRows="1" applyNumberFormats="0" applyBorderFormats="0" applyFontFormats="0" applyPatternFormats="0" applyAlignmentFormats="0" applyWidthHeightFormats="1" dataCaption="Datos" missingCaption="0" updatedVersion="2" showMemberPropertyTips="0" itemPrintTitles="1" createdVersion="1" indent="0" compact="0" compactData="0" gridDropZones="1">
  <location ref="A23:E29" firstHeaderRow="1" firstDataRow="2" firstDataCol="1"/>
  <pivotFields count="2">
    <pivotField axis="axisRow" dataField="1" compact="0" outline="0" subtotalTop="0" showAll="0" includeNewItemsInFilter="1">
      <items count="7">
        <item x="1"/>
        <item x="3"/>
        <item m="1" x="5"/>
        <item x="0"/>
        <item h="1" m="1" x="4"/>
        <item x="2"/>
        <item t="default"/>
      </items>
    </pivotField>
    <pivotField axis="axisCol" compact="0" outline="0" subtotalTop="0" showAll="0" includeNewItemsInFilter="1">
      <items count="5">
        <item x="1"/>
        <item x="0"/>
        <item m="1" x="3"/>
        <item x="2"/>
        <item t="default"/>
      </items>
    </pivotField>
  </pivotFields>
  <rowFields count="1">
    <field x="0"/>
  </rowFields>
  <rowItems count="5">
    <i>
      <x/>
    </i>
    <i>
      <x v="1"/>
    </i>
    <i>
      <x v="3"/>
    </i>
    <i>
      <x v="5"/>
    </i>
    <i t="grand">
      <x/>
    </i>
  </rowItems>
  <colFields count="1">
    <field x="1"/>
  </colFields>
  <colItems count="4">
    <i>
      <x/>
    </i>
    <i>
      <x v="1"/>
    </i>
    <i>
      <x v="3"/>
    </i>
    <i t="grand">
      <x/>
    </i>
  </colItems>
  <dataFields count="1">
    <dataField name="Cuenta de TIPO" fld="0" subtotal="count" baseField="0" baseItem="0"/>
  </dataFields>
  <formats count="5">
    <format dxfId="25">
      <pivotArea type="all" dataOnly="0" outline="0" fieldPosition="0"/>
    </format>
    <format dxfId="24">
      <pivotArea outline="0" fieldPosition="0"/>
    </format>
    <format dxfId="23">
      <pivotArea outline="0" fieldPosition="0"/>
    </format>
    <format dxfId="22">
      <pivotArea grandRow="1" outline="0" fieldPosition="0"/>
    </format>
    <format dxfId="21">
      <pivotArea type="all" dataOnly="0" outline="0" fieldPosition="0"/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1" cacheId="0" dataOnRows="1" applyNumberFormats="0" applyBorderFormats="0" applyFontFormats="0" applyPatternFormats="0" applyAlignmentFormats="0" applyWidthHeightFormats="1" dataCaption="Datos" missingCaption="0" updatedVersion="2" asteriskTotals="1" showMemberPropertyTips="0" itemPrintTitles="1" createdVersion="1" indent="0" compact="0" compactData="0" gridDropZones="1">
  <location ref="A23:E29" firstHeaderRow="1" firstDataRow="2" firstDataCol="1"/>
  <pivotFields count="2">
    <pivotField axis="axisRow" dataField="1" compact="0" outline="0" subtotalTop="0" showAll="0" includeNewItemsInFilter="1">
      <items count="7">
        <item x="0"/>
        <item x="2"/>
        <item m="1" x="5"/>
        <item x="1"/>
        <item h="1" x="4"/>
        <item x="3"/>
        <item t="default"/>
      </items>
    </pivotField>
    <pivotField axis="axisCol" compact="0" outline="0" subtotalTop="0" showAll="0" includeNewItemsInFilter="1">
      <items count="5">
        <item x="2"/>
        <item x="0"/>
        <item x="3"/>
        <item x="1"/>
        <item t="default"/>
      </items>
    </pivotField>
  </pivotFields>
  <rowFields count="1">
    <field x="0"/>
  </rowFields>
  <rowItems count="5">
    <i>
      <x/>
    </i>
    <i>
      <x v="1"/>
    </i>
    <i>
      <x v="3"/>
    </i>
    <i>
      <x v="5"/>
    </i>
    <i t="grand">
      <x/>
    </i>
  </rowItems>
  <colFields count="1">
    <field x="1"/>
  </colFields>
  <colItems count="4">
    <i>
      <x/>
    </i>
    <i>
      <x v="1"/>
    </i>
    <i>
      <x v="3"/>
    </i>
    <i t="grand">
      <x/>
    </i>
  </colItems>
  <dataFields count="1">
    <dataField name="Cuenta de TIPO" fld="0" subtotal="count" baseField="0" baseItem="0"/>
  </dataFields>
  <formats count="5">
    <format dxfId="20">
      <pivotArea type="all" dataOnly="0" outline="0" fieldPosition="0"/>
    </format>
    <format dxfId="19">
      <pivotArea outline="0" fieldPosition="0"/>
    </format>
    <format dxfId="18">
      <pivotArea outline="0" fieldPosition="0"/>
    </format>
    <format dxfId="17">
      <pivotArea grandRow="1" outline="0" fieldPosition="0"/>
    </format>
    <format dxfId="16">
      <pivotArea type="all" dataOnly="0" outline="0" fieldPosition="0"/>
    </format>
  </format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1" cacheId="1" dataOnRows="1" applyNumberFormats="0" applyBorderFormats="0" applyFontFormats="0" applyPatternFormats="0" applyAlignmentFormats="0" applyWidthHeightFormats="1" dataCaption="Datos" missingCaption="0" updatedVersion="2" showMemberPropertyTips="0" itemPrintTitles="1" createdVersion="1" indent="0" compact="0" compactData="0" gridDropZones="1">
  <location ref="A23:D29" firstHeaderRow="1" firstDataRow="2" firstDataCol="1"/>
  <pivotFields count="2">
    <pivotField axis="axisRow" dataField="1" compact="0" outline="0" subtotalTop="0" showAll="0" includeNewItemsInFilter="1">
      <items count="7">
        <item x="0"/>
        <item x="3"/>
        <item m="1" x="5"/>
        <item x="1"/>
        <item h="1" x="4"/>
        <item x="2"/>
        <item t="default"/>
      </items>
    </pivotField>
    <pivotField axis="axisCol" compact="0" outline="0" subtotalTop="0" showAll="0" includeNewItemsInFilter="1">
      <items count="5">
        <item m="1" x="3"/>
        <item x="0"/>
        <item x="2"/>
        <item x="1"/>
        <item t="default"/>
      </items>
    </pivotField>
  </pivotFields>
  <rowFields count="1">
    <field x="0"/>
  </rowFields>
  <rowItems count="5">
    <i>
      <x/>
    </i>
    <i>
      <x v="1"/>
    </i>
    <i>
      <x v="3"/>
    </i>
    <i>
      <x v="5"/>
    </i>
    <i t="grand">
      <x/>
    </i>
  </rowItems>
  <colFields count="1">
    <field x="1"/>
  </colFields>
  <colItems count="3">
    <i>
      <x v="1"/>
    </i>
    <i>
      <x v="3"/>
    </i>
    <i t="grand">
      <x/>
    </i>
  </colItems>
  <dataFields count="1">
    <dataField name="Cuenta de TIPO" fld="0" subtotal="count" baseField="0" baseItem="0"/>
  </dataFields>
  <formats count="5">
    <format dxfId="15">
      <pivotArea type="all" dataOnly="0" outline="0" fieldPosition="0"/>
    </format>
    <format dxfId="14">
      <pivotArea outline="0" fieldPosition="0"/>
    </format>
    <format dxfId="13">
      <pivotArea outline="0" fieldPosition="0"/>
    </format>
    <format dxfId="12">
      <pivotArea grandRow="1" outline="0" fieldPosition="0"/>
    </format>
    <format dxfId="11">
      <pivotArea type="all" dataOnly="0" outline="0" fieldPosition="0"/>
    </format>
  </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1" cacheId="3" dataOnRows="1" applyNumberFormats="0" applyBorderFormats="0" applyFontFormats="0" applyPatternFormats="0" applyAlignmentFormats="0" applyWidthHeightFormats="1" dataCaption="Datos" missingCaption="0" updatedVersion="2" showMemberPropertyTips="0" itemPrintTitles="1" createdVersion="1" indent="0" compact="0" compactData="0" gridDropZones="1">
  <location ref="A31:E37" firstHeaderRow="1" firstDataRow="2" firstDataCol="1"/>
  <pivotFields count="2">
    <pivotField axis="axisRow" dataField="1" compact="0" outline="0" subtotalTop="0" showAll="0" includeNewItemsInFilter="1">
      <items count="7">
        <item x="1"/>
        <item x="3"/>
        <item m="1" x="5"/>
        <item x="0"/>
        <item h="1" x="4"/>
        <item x="2"/>
        <item t="default"/>
      </items>
    </pivotField>
    <pivotField axis="axisCol" compact="0" outline="0" subtotalTop="0" showAll="0" includeNewItemsInFilter="1">
      <items count="5">
        <item x="1"/>
        <item x="0"/>
        <item x="3"/>
        <item x="2"/>
        <item t="default"/>
      </items>
    </pivotField>
  </pivotFields>
  <rowFields count="1">
    <field x="0"/>
  </rowFields>
  <rowItems count="5">
    <i>
      <x/>
    </i>
    <i>
      <x v="1"/>
    </i>
    <i>
      <x v="3"/>
    </i>
    <i>
      <x v="5"/>
    </i>
    <i t="grand">
      <x/>
    </i>
  </rowItems>
  <colFields count="1">
    <field x="1"/>
  </colFields>
  <colItems count="4">
    <i>
      <x/>
    </i>
    <i>
      <x v="1"/>
    </i>
    <i>
      <x v="3"/>
    </i>
    <i t="grand">
      <x/>
    </i>
  </colItems>
  <dataFields count="1">
    <dataField name="Cuenta de TIPO" fld="0" subtotal="count" baseField="0" baseItem="0"/>
  </dataFields>
  <formats count="5">
    <format dxfId="10">
      <pivotArea type="all" dataOnly="0" outline="0" fieldPosition="0"/>
    </format>
    <format dxfId="9">
      <pivotArea outline="0" fieldPosition="0"/>
    </format>
    <format dxfId="8">
      <pivotArea outline="0" fieldPosition="0"/>
    </format>
    <format dxfId="7">
      <pivotArea grandRow="1" outline="0" fieldPosition="0"/>
    </format>
    <format dxfId="6">
      <pivotArea type="all" dataOnly="0" outline="0" fieldPosition="0"/>
    </format>
  </format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1" cacheId="12" dataOnRows="1" applyNumberFormats="0" applyBorderFormats="0" applyFontFormats="0" applyPatternFormats="0" applyAlignmentFormats="0" applyWidthHeightFormats="1" dataCaption="Datos" missingCaption="0" updatedVersion="3" minRefreshableVersion="3" showMemberPropertyTips="0" itemPrintTitles="1" createdVersion="3" indent="0" compact="0" compactData="0" gridDropZones="1">
  <location ref="E3:I10" firstHeaderRow="1" firstDataRow="2" firstDataCol="1"/>
  <pivotFields count="2">
    <pivotField axis="axisRow" dataField="1" compact="0" outline="0" subtotalTop="0" showAll="0" includeNewItemsInFilter="1">
      <items count="7">
        <item x="1"/>
        <item x="0"/>
        <item h="1" x="5"/>
        <item x="3"/>
        <item x="4"/>
        <item x="2"/>
        <item t="default"/>
      </items>
    </pivotField>
    <pivotField axis="axisCol" compact="0" outline="0" subtotalTop="0" showAll="0" includeNewItemsInFilter="1">
      <items count="5">
        <item x="1"/>
        <item x="0"/>
        <item x="3"/>
        <item x="2"/>
        <item t="default"/>
      </items>
    </pivotField>
  </pivotFields>
  <rowFields count="1">
    <field x="0"/>
  </rowFields>
  <rowItems count="6">
    <i>
      <x/>
    </i>
    <i>
      <x v="1"/>
    </i>
    <i>
      <x v="3"/>
    </i>
    <i>
      <x v="4"/>
    </i>
    <i>
      <x v="5"/>
    </i>
    <i t="grand">
      <x/>
    </i>
  </rowItems>
  <colFields count="1">
    <field x="1"/>
  </colFields>
  <colItems count="4">
    <i>
      <x/>
    </i>
    <i>
      <x v="1"/>
    </i>
    <i>
      <x v="3"/>
    </i>
    <i t="grand">
      <x/>
    </i>
  </colItems>
  <dataFields count="1">
    <dataField name="Cuenta de TIPO" fld="0" subtotal="count" baseField="0" baseItem="0"/>
  </dataFields>
  <formats count="6">
    <format dxfId="5">
      <pivotArea type="all" dataOnly="0" outline="0" fieldPosition="0"/>
    </format>
    <format dxfId="4">
      <pivotArea outline="0" fieldPosition="0"/>
    </format>
    <format dxfId="3">
      <pivotArea outline="0" fieldPosition="0"/>
    </format>
    <format dxfId="2">
      <pivotArea grandRow="1" outline="0" fieldPosition="0"/>
    </format>
    <format dxfId="1">
      <pivotArea type="all" dataOnly="0" outline="0" fieldPosition="0"/>
    </format>
    <format dxfId="0">
      <pivotArea field="1" type="button" dataOnly="0" labelOnly="1" outline="0" axis="axisCol" fieldPosition="0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 enableFormatConditionsCalculation="0">
    <tabColor indexed="47"/>
  </sheetPr>
  <dimension ref="A1:S50"/>
  <sheetViews>
    <sheetView showGridLines="0" topLeftCell="C9" workbookViewId="0">
      <selection activeCell="K30" sqref="K30"/>
    </sheetView>
  </sheetViews>
  <sheetFormatPr baseColWidth="10" defaultRowHeight="12.75"/>
  <cols>
    <col min="1" max="1" width="23.42578125" style="8" customWidth="1"/>
    <col min="2" max="3" width="11.7109375" style="8" customWidth="1"/>
    <col min="4" max="4" width="8.140625" style="8" customWidth="1"/>
    <col min="5" max="5" width="14.85546875" style="8" customWidth="1"/>
    <col min="6" max="6" width="9" style="8" customWidth="1"/>
    <col min="7" max="7" width="8.85546875" style="8" customWidth="1"/>
    <col min="8" max="8" width="38" style="8" customWidth="1"/>
    <col min="9" max="14" width="3.7109375" style="8" customWidth="1"/>
    <col min="15" max="15" width="7.7109375" style="8" customWidth="1"/>
    <col min="16" max="16" width="11.42578125" style="8"/>
    <col min="17" max="17" width="38.42578125" style="9" customWidth="1"/>
    <col min="18" max="18" width="16" style="8" customWidth="1"/>
    <col min="19" max="19" width="13.85546875" style="10" customWidth="1"/>
    <col min="20" max="16384" width="11.42578125" style="8"/>
  </cols>
  <sheetData>
    <row r="1" spans="1:16">
      <c r="A1" s="5"/>
      <c r="B1" s="5"/>
      <c r="C1" s="5"/>
      <c r="D1" s="6"/>
      <c r="E1" s="7"/>
      <c r="F1" s="7"/>
    </row>
    <row r="2" spans="1:16">
      <c r="A2" s="11"/>
      <c r="B2" s="11" t="s">
        <v>29</v>
      </c>
      <c r="C2" s="11" t="s">
        <v>27</v>
      </c>
      <c r="D2" s="6"/>
      <c r="E2" s="6"/>
      <c r="F2" s="7"/>
      <c r="H2" s="76" t="s">
        <v>0</v>
      </c>
      <c r="I2" s="76"/>
      <c r="J2" s="76"/>
      <c r="K2" s="76"/>
      <c r="L2" s="76"/>
      <c r="M2" s="76"/>
      <c r="N2" s="76"/>
      <c r="O2" s="76"/>
      <c r="P2" s="76"/>
    </row>
    <row r="3" spans="1:16">
      <c r="A3" s="1" t="s">
        <v>65</v>
      </c>
      <c r="B3" s="1" t="s">
        <v>30</v>
      </c>
      <c r="C3" s="1" t="s">
        <v>38</v>
      </c>
      <c r="D3" s="6"/>
      <c r="E3" s="48"/>
      <c r="F3" s="7"/>
    </row>
    <row r="4" spans="1:16">
      <c r="A4" s="1" t="s">
        <v>65</v>
      </c>
      <c r="B4" s="1" t="s">
        <v>31</v>
      </c>
      <c r="C4" s="1" t="s">
        <v>28</v>
      </c>
      <c r="D4" s="6"/>
      <c r="E4" s="48"/>
      <c r="F4" s="7"/>
      <c r="H4" s="82" t="s">
        <v>1</v>
      </c>
      <c r="I4" s="77" t="s">
        <v>2</v>
      </c>
      <c r="J4" s="78"/>
      <c r="K4" s="78"/>
      <c r="L4" s="78"/>
      <c r="M4" s="78"/>
      <c r="N4" s="79"/>
      <c r="O4" s="80" t="s">
        <v>6</v>
      </c>
    </row>
    <row r="5" spans="1:16">
      <c r="A5" s="1" t="s">
        <v>66</v>
      </c>
      <c r="B5" s="1" t="s">
        <v>32</v>
      </c>
      <c r="C5" s="1" t="s">
        <v>28</v>
      </c>
      <c r="D5" s="6"/>
      <c r="E5" s="48"/>
      <c r="F5" s="7"/>
      <c r="H5" s="82"/>
      <c r="I5" s="77" t="s">
        <v>3</v>
      </c>
      <c r="J5" s="79"/>
      <c r="K5" s="77" t="s">
        <v>4</v>
      </c>
      <c r="L5" s="79"/>
      <c r="M5" s="77" t="s">
        <v>5</v>
      </c>
      <c r="N5" s="79"/>
      <c r="O5" s="81"/>
    </row>
    <row r="6" spans="1:16" ht="14.25">
      <c r="A6" s="1" t="s">
        <v>67</v>
      </c>
      <c r="B6" s="1" t="s">
        <v>32</v>
      </c>
      <c r="C6" s="1" t="s">
        <v>38</v>
      </c>
      <c r="D6" s="6"/>
      <c r="E6" s="48"/>
      <c r="F6" s="7"/>
      <c r="H6" s="12" t="s">
        <v>30</v>
      </c>
      <c r="I6" s="38">
        <f>IF(ISERROR(GETPIVOTDATA("TIPO",$A$23,"TIPO",H6,"COMPLEJIDAD","BAJA")),0,GETPIVOTDATA("TIPO",$A$23,"TIPO",H6,"COMPLEJIDAD","BAJA"))</f>
        <v>1</v>
      </c>
      <c r="J6" s="39">
        <v>3</v>
      </c>
      <c r="K6" s="38">
        <f>IF(ISERROR(GETPIVOTDATA("TIPO",$A$23,"TIPO",H6,"COMPLEJIDAD","MEDIA")),0,GETPIVOTDATA("TIPO",$A$23,"TIPO",H6,"COMPLEJIDAD","MEDIA"))</f>
        <v>4</v>
      </c>
      <c r="L6" s="39">
        <v>4</v>
      </c>
      <c r="M6" s="38">
        <f>IF(ISERROR(GETPIVOTDATA("TIPO",$A$23,"TIPO",H6,"COMPLEJIDAD","ALTA")),0,GETPIVOTDATA("TIPO",$A$23,"TIPO",H6,"COMPLEJIDAD","ALTA"))</f>
        <v>1</v>
      </c>
      <c r="N6" s="39">
        <v>6</v>
      </c>
      <c r="O6" s="13">
        <f>(I6*J6)+(K6*L6)+(M6*N6)</f>
        <v>25</v>
      </c>
    </row>
    <row r="7" spans="1:16" ht="14.25">
      <c r="A7" s="1"/>
      <c r="B7" s="1"/>
      <c r="C7" s="1"/>
      <c r="D7" s="6"/>
      <c r="E7" s="48"/>
      <c r="F7" s="7"/>
      <c r="H7" s="12" t="s">
        <v>32</v>
      </c>
      <c r="I7" s="38">
        <f>IF(ISERROR(GETPIVOTDATA("TIPO",$A$23,"TIPO",H7,"COMPLEJIDAD","BAJA")),0,GETPIVOTDATA("TIPO",$A$23,"TIPO",H7,"COMPLEJIDAD","BAJA"))</f>
        <v>4</v>
      </c>
      <c r="J7" s="39">
        <v>4</v>
      </c>
      <c r="K7" s="38">
        <f>IF(ISERROR(GETPIVOTDATA("TIPO",$A$23,"TIPO",H7,"COMPLEJIDAD","MEDIA")),0,GETPIVOTDATA("TIPO",$A$23,"TIPO",H7,"COMPLEJIDAD","MEDIA"))</f>
        <v>2</v>
      </c>
      <c r="L7" s="39">
        <v>5</v>
      </c>
      <c r="M7" s="38">
        <f>IF(ISERROR(GETPIVOTDATA("TIPO",$A$23,"TIPO",H7,"COMPLEJIDAD","ALTA")),0,GETPIVOTDATA("TIPO",$A$23,"TIPO",H7,"COMPLEJIDAD","ALTA"))</f>
        <v>0</v>
      </c>
      <c r="N7" s="39">
        <v>7</v>
      </c>
      <c r="O7" s="13">
        <f>(I7*J7)+(K7*L7)+(M7*N7)</f>
        <v>26</v>
      </c>
    </row>
    <row r="8" spans="1:16" ht="14.25">
      <c r="A8" s="1"/>
      <c r="B8" s="1"/>
      <c r="C8" s="1"/>
      <c r="D8" s="6"/>
      <c r="E8" s="48"/>
      <c r="F8" s="7"/>
      <c r="H8" s="12" t="s">
        <v>35</v>
      </c>
      <c r="I8" s="38">
        <f>IF(ISERROR(GETPIVOTDATA("TIPO",$A$23,"TIPO",H8,"COMPLEJIDAD","BAJA")),0,GETPIVOTDATA("TIPO",$A$23,"TIPO",H8,"COMPLEJIDAD","BAJA"))</f>
        <v>0</v>
      </c>
      <c r="J8" s="39">
        <v>3</v>
      </c>
      <c r="K8" s="38">
        <f>IF(ISERROR(GETPIVOTDATA("TIPO",$A$23,"TIPO",H8,"COMPLEJIDAD","MEDIA")),0,GETPIVOTDATA("TIPO",$A$23,"TIPO",H8,"COMPLEJIDAD","MEDIA"))</f>
        <v>0</v>
      </c>
      <c r="L8" s="39">
        <v>4</v>
      </c>
      <c r="M8" s="38">
        <f>IF(ISERROR(GETPIVOTDATA("TIPO",$A$23,"TIPO",H8,"COMPLEJIDAD","ALTA")),0,GETPIVOTDATA("TIPO",$A$23,"TIPO",H8,"COMPLEJIDAD","ALTA"))</f>
        <v>0</v>
      </c>
      <c r="N8" s="39">
        <v>6</v>
      </c>
      <c r="O8" s="13">
        <f>(I8*J8)+(K8*L8)+(M8*N8)</f>
        <v>0</v>
      </c>
    </row>
    <row r="9" spans="1:16" ht="14.25">
      <c r="A9" s="1"/>
      <c r="B9" s="1"/>
      <c r="C9" s="1"/>
      <c r="D9" s="6"/>
      <c r="E9" s="48"/>
      <c r="F9" s="7"/>
      <c r="H9" s="12" t="s">
        <v>31</v>
      </c>
      <c r="I9" s="38">
        <f>IF(ISERROR(GETPIVOTDATA("TIPO",$A$23,"TIPO",H9,"COMPLEJIDAD","BAJA")),0,GETPIVOTDATA("TIPO",$A$23,"TIPO",H9,"COMPLEJIDAD","BAJA"))</f>
        <v>2</v>
      </c>
      <c r="J9" s="39">
        <v>7</v>
      </c>
      <c r="K9" s="38">
        <f>IF(ISERROR(GETPIVOTDATA("TIPO",$A$23,"TIPO",H9,"COMPLEJIDAD","MEDIA")),0,GETPIVOTDATA("TIPO",$A$23,"TIPO",H9,"COMPLEJIDAD","MEDIA"))</f>
        <v>2</v>
      </c>
      <c r="L9" s="39">
        <v>10</v>
      </c>
      <c r="M9" s="38">
        <f>IF(ISERROR(GETPIVOTDATA("TIPO",$A$23,"TIPO",H9,"COMPLEJIDAD","ALTA")),0,GETPIVOTDATA("TIPO",$A$23,"TIPO",H9,"COMPLEJIDAD","ALTA"))</f>
        <v>0</v>
      </c>
      <c r="N9" s="39">
        <v>15</v>
      </c>
      <c r="O9" s="13">
        <f>(I9*J9)+(K9*L9)+(M9*N9)</f>
        <v>34</v>
      </c>
    </row>
    <row r="10" spans="1:16" ht="14.25">
      <c r="A10" s="1"/>
      <c r="B10" s="1"/>
      <c r="C10" s="1"/>
      <c r="D10" s="6"/>
      <c r="E10" s="48"/>
      <c r="F10" s="7"/>
      <c r="H10" s="12" t="s">
        <v>36</v>
      </c>
      <c r="I10" s="38">
        <f>IF(ISERROR(GETPIVOTDATA("TIPO",$A$23,"TIPO",H10,"COMPLEJIDAD","BAJA")),0,GETPIVOTDATA("TIPO",$A$23,"TIPO",H10,"COMPLEJIDAD","BAJA"))</f>
        <v>0</v>
      </c>
      <c r="J10" s="39">
        <v>5</v>
      </c>
      <c r="K10" s="38">
        <f>IF(ISERROR(GETPIVOTDATA("TIPO",$A$23,"TIPO",H10,"COMPLEJIDAD","MEDIA")),0,GETPIVOTDATA("TIPO",$A$23,"TIPO",H10,"COMPLEJIDAD","MEDIA"))</f>
        <v>1</v>
      </c>
      <c r="L10" s="39">
        <v>7</v>
      </c>
      <c r="M10" s="38">
        <f>IF(ISERROR(GETPIVOTDATA("TIPO",$A$23,"TIPO",H10,"COMPLEJIDAD","ALTA")),0,GETPIVOTDATA("TIPO",$A$23,"TIPO",H10,"COMPLEJIDAD","ALTA"))</f>
        <v>1</v>
      </c>
      <c r="N10" s="39">
        <v>10</v>
      </c>
      <c r="O10" s="13">
        <f>(I10*J10)+(K10*L10)+(M10*N10)</f>
        <v>17</v>
      </c>
    </row>
    <row r="11" spans="1:16">
      <c r="A11" s="1"/>
      <c r="B11" s="1"/>
      <c r="C11" s="1"/>
      <c r="D11" s="6"/>
      <c r="E11" s="48"/>
      <c r="F11" s="7"/>
    </row>
    <row r="12" spans="1:16">
      <c r="A12" s="1"/>
      <c r="B12" s="1"/>
      <c r="C12" s="1"/>
      <c r="D12" s="6"/>
      <c r="E12" s="48"/>
      <c r="F12" s="7"/>
      <c r="I12" s="83" t="s">
        <v>7</v>
      </c>
      <c r="J12" s="83"/>
      <c r="K12" s="83"/>
      <c r="L12" s="83"/>
      <c r="M12" s="83"/>
      <c r="N12" s="83"/>
      <c r="O12" s="14">
        <f>SUM(O6:O11)</f>
        <v>102</v>
      </c>
    </row>
    <row r="13" spans="1:16">
      <c r="A13" s="1"/>
      <c r="B13" s="1"/>
      <c r="C13" s="1"/>
      <c r="D13" s="6"/>
      <c r="E13" s="48"/>
      <c r="F13" s="7"/>
    </row>
    <row r="14" spans="1:16">
      <c r="A14" s="1"/>
      <c r="B14" s="1"/>
      <c r="C14" s="1"/>
      <c r="D14" s="6"/>
      <c r="E14" s="48"/>
      <c r="F14" s="7"/>
      <c r="H14" s="12"/>
      <c r="I14" s="12" t="s">
        <v>22</v>
      </c>
    </row>
    <row r="15" spans="1:16">
      <c r="A15" s="1"/>
      <c r="B15" s="1"/>
      <c r="C15" s="1"/>
      <c r="D15" s="6"/>
      <c r="E15" s="48"/>
      <c r="F15" s="7"/>
      <c r="H15" s="12" t="s">
        <v>8</v>
      </c>
      <c r="I15" s="15">
        <v>3</v>
      </c>
    </row>
    <row r="16" spans="1:16">
      <c r="A16" s="4"/>
      <c r="B16" s="1"/>
      <c r="C16" s="1"/>
      <c r="D16" s="6"/>
      <c r="E16" s="48"/>
      <c r="F16" s="7"/>
      <c r="H16" s="12" t="s">
        <v>9</v>
      </c>
      <c r="I16" s="15">
        <v>1</v>
      </c>
    </row>
    <row r="17" spans="1:15">
      <c r="A17" s="4"/>
      <c r="B17" s="1"/>
      <c r="C17" s="1"/>
      <c r="D17" s="6"/>
      <c r="E17" s="48"/>
      <c r="F17" s="7"/>
      <c r="H17" s="12" t="s">
        <v>10</v>
      </c>
      <c r="I17" s="15">
        <v>2</v>
      </c>
    </row>
    <row r="18" spans="1:15">
      <c r="A18" s="1"/>
      <c r="B18" s="1"/>
      <c r="C18" s="1"/>
      <c r="D18" s="6"/>
      <c r="E18" s="48"/>
      <c r="F18" s="7"/>
      <c r="H18" s="12" t="s">
        <v>11</v>
      </c>
      <c r="I18" s="15">
        <v>2</v>
      </c>
    </row>
    <row r="19" spans="1:15">
      <c r="A19" s="1"/>
      <c r="B19" s="1"/>
      <c r="C19" s="1"/>
      <c r="D19" s="6"/>
      <c r="E19" s="48"/>
      <c r="F19" s="7"/>
      <c r="H19" s="12" t="s">
        <v>12</v>
      </c>
      <c r="I19" s="15">
        <v>3</v>
      </c>
    </row>
    <row r="20" spans="1:15">
      <c r="A20" s="1"/>
      <c r="B20" s="1"/>
      <c r="C20" s="1"/>
      <c r="D20" s="6"/>
      <c r="E20" s="48"/>
      <c r="F20" s="7"/>
      <c r="H20" s="12" t="s">
        <v>13</v>
      </c>
      <c r="I20" s="15">
        <v>2</v>
      </c>
    </row>
    <row r="21" spans="1:15" ht="15">
      <c r="A21" s="16"/>
      <c r="B21" s="16"/>
      <c r="C21" s="49"/>
      <c r="D21" s="7"/>
      <c r="E21" s="3"/>
      <c r="F21" s="7"/>
      <c r="H21" s="12" t="s">
        <v>14</v>
      </c>
      <c r="I21" s="15">
        <v>3</v>
      </c>
    </row>
    <row r="22" spans="1:15">
      <c r="A22" s="26"/>
      <c r="B22" s="26"/>
      <c r="C22" s="27"/>
      <c r="D22" s="27"/>
      <c r="E22" s="28"/>
      <c r="F22" s="27"/>
      <c r="H22" s="12" t="s">
        <v>15</v>
      </c>
      <c r="I22" s="15">
        <v>2</v>
      </c>
    </row>
    <row r="23" spans="1:15">
      <c r="A23" s="29" t="s">
        <v>33</v>
      </c>
      <c r="B23" s="29" t="s">
        <v>27</v>
      </c>
      <c r="C23" s="40"/>
      <c r="D23" s="40"/>
      <c r="E23" s="30"/>
      <c r="F23" s="27"/>
      <c r="H23" s="12" t="s">
        <v>16</v>
      </c>
      <c r="I23" s="15">
        <v>3</v>
      </c>
    </row>
    <row r="24" spans="1:15">
      <c r="A24" s="29" t="s">
        <v>29</v>
      </c>
      <c r="B24" s="31" t="s">
        <v>28</v>
      </c>
      <c r="C24" s="41" t="s">
        <v>38</v>
      </c>
      <c r="D24" s="41" t="s">
        <v>5</v>
      </c>
      <c r="E24" s="32" t="s">
        <v>34</v>
      </c>
      <c r="F24" s="27"/>
      <c r="H24" s="12" t="s">
        <v>17</v>
      </c>
      <c r="I24" s="15">
        <v>2</v>
      </c>
    </row>
    <row r="25" spans="1:15">
      <c r="A25" s="31" t="s">
        <v>30</v>
      </c>
      <c r="B25" s="33">
        <v>1</v>
      </c>
      <c r="C25" s="42">
        <v>4</v>
      </c>
      <c r="D25" s="42">
        <v>1</v>
      </c>
      <c r="E25" s="34">
        <v>6</v>
      </c>
      <c r="F25" s="27"/>
      <c r="H25" s="12" t="s">
        <v>18</v>
      </c>
      <c r="I25" s="15">
        <v>3</v>
      </c>
    </row>
    <row r="26" spans="1:15">
      <c r="A26" s="43" t="s">
        <v>32</v>
      </c>
      <c r="B26" s="44">
        <v>4</v>
      </c>
      <c r="C26" s="45">
        <v>2</v>
      </c>
      <c r="D26" s="45">
        <v>0</v>
      </c>
      <c r="E26" s="46">
        <v>6</v>
      </c>
      <c r="F26" s="27"/>
      <c r="H26" s="12" t="s">
        <v>19</v>
      </c>
      <c r="I26" s="15">
        <v>2</v>
      </c>
    </row>
    <row r="27" spans="1:15">
      <c r="A27" s="43" t="s">
        <v>31</v>
      </c>
      <c r="B27" s="44">
        <v>2</v>
      </c>
      <c r="C27" s="45">
        <v>2</v>
      </c>
      <c r="D27" s="45">
        <v>0</v>
      </c>
      <c r="E27" s="46">
        <v>4</v>
      </c>
      <c r="F27" s="27"/>
      <c r="H27" s="12" t="s">
        <v>20</v>
      </c>
      <c r="I27" s="15">
        <v>3</v>
      </c>
    </row>
    <row r="28" spans="1:15">
      <c r="A28" s="43" t="s">
        <v>36</v>
      </c>
      <c r="B28" s="44">
        <v>0</v>
      </c>
      <c r="C28" s="45">
        <v>1</v>
      </c>
      <c r="D28" s="45">
        <v>1</v>
      </c>
      <c r="E28" s="46">
        <v>2</v>
      </c>
      <c r="F28" s="27"/>
      <c r="H28" s="12" t="s">
        <v>21</v>
      </c>
      <c r="I28" s="15">
        <v>2</v>
      </c>
    </row>
    <row r="29" spans="1:15">
      <c r="A29" s="35" t="s">
        <v>34</v>
      </c>
      <c r="B29" s="52">
        <v>7</v>
      </c>
      <c r="C29" s="53">
        <v>9</v>
      </c>
      <c r="D29" s="53">
        <v>2</v>
      </c>
      <c r="E29" s="54">
        <v>18</v>
      </c>
      <c r="F29" s="27"/>
    </row>
    <row r="30" spans="1:15">
      <c r="A30"/>
      <c r="B30"/>
      <c r="C30"/>
      <c r="D30"/>
      <c r="E30"/>
      <c r="F30" s="27"/>
      <c r="H30" s="8" t="s">
        <v>23</v>
      </c>
      <c r="I30" s="18">
        <f>SUM(I15:I28)</f>
        <v>33</v>
      </c>
    </row>
    <row r="31" spans="1:15">
      <c r="A31" s="27"/>
      <c r="B31" s="27"/>
      <c r="C31" s="27"/>
      <c r="D31" s="27"/>
      <c r="E31" s="27"/>
      <c r="F31" s="27"/>
    </row>
    <row r="32" spans="1:15">
      <c r="A32" s="27"/>
      <c r="B32" s="27"/>
      <c r="C32" s="27"/>
      <c r="D32" s="27"/>
      <c r="E32" s="27"/>
      <c r="F32" s="27"/>
      <c r="M32" s="76"/>
      <c r="N32" s="76"/>
      <c r="O32" s="76"/>
    </row>
    <row r="33" spans="1:15">
      <c r="A33" s="27"/>
      <c r="B33" s="27"/>
      <c r="C33" s="27"/>
      <c r="D33" s="27"/>
      <c r="E33" s="27"/>
      <c r="F33" s="27"/>
      <c r="K33" s="19"/>
      <c r="M33" s="20"/>
      <c r="N33" s="20"/>
      <c r="O33" s="20"/>
    </row>
    <row r="34" spans="1:15">
      <c r="A34" s="27"/>
      <c r="B34" s="27"/>
      <c r="C34" s="27"/>
      <c r="D34" s="27"/>
      <c r="E34" s="27"/>
      <c r="F34" s="27"/>
      <c r="H34" s="9" t="s">
        <v>24</v>
      </c>
      <c r="I34" s="76">
        <f>0.65+(0.01*I30)</f>
        <v>0.98</v>
      </c>
      <c r="J34" s="76"/>
      <c r="K34" s="76"/>
      <c r="M34" s="10" t="str">
        <f>" = 0,65+(0,01*" &amp; O12 &amp; ")"</f>
        <v xml:space="preserve"> = 0,65+(0,01*102)</v>
      </c>
    </row>
    <row r="35" spans="1:15">
      <c r="A35" s="27"/>
      <c r="B35" s="27"/>
      <c r="C35" s="27"/>
      <c r="D35" s="27"/>
      <c r="E35" s="27"/>
      <c r="F35" s="27"/>
      <c r="H35" s="9"/>
      <c r="J35" s="10"/>
      <c r="K35" s="19"/>
    </row>
    <row r="36" spans="1:15">
      <c r="A36" s="27"/>
      <c r="B36" s="27"/>
      <c r="C36" s="27"/>
      <c r="D36" s="27"/>
      <c r="E36" s="27"/>
      <c r="F36" s="27"/>
      <c r="H36" s="9" t="s">
        <v>25</v>
      </c>
      <c r="I36" s="76">
        <f>I34*O12</f>
        <v>99.96</v>
      </c>
      <c r="J36" s="76"/>
      <c r="K36" s="76"/>
      <c r="L36" s="21"/>
      <c r="M36" s="10" t="str">
        <f>"= ("&amp; I34 &amp; " * " &amp;I30 &amp;")"</f>
        <v>= (0,98 * 33)</v>
      </c>
    </row>
    <row r="37" spans="1:15">
      <c r="A37" s="27"/>
      <c r="B37" s="27"/>
      <c r="C37" s="27"/>
      <c r="D37" s="27"/>
      <c r="E37" s="27"/>
      <c r="F37" s="27"/>
      <c r="H37" s="9"/>
      <c r="J37" s="10"/>
      <c r="K37" s="19"/>
    </row>
    <row r="38" spans="1:15">
      <c r="A38" s="27"/>
      <c r="B38" s="27"/>
      <c r="C38" s="27"/>
      <c r="D38" s="27"/>
      <c r="E38" s="27"/>
      <c r="F38" s="27"/>
      <c r="H38" s="9" t="s">
        <v>26</v>
      </c>
      <c r="I38" s="84">
        <v>10000</v>
      </c>
      <c r="J38" s="84"/>
      <c r="K38" s="84"/>
      <c r="L38" s="84"/>
    </row>
    <row r="39" spans="1:15">
      <c r="A39" s="27"/>
      <c r="B39" s="27"/>
      <c r="C39" s="27"/>
      <c r="D39" s="27"/>
      <c r="E39" s="27"/>
      <c r="F39" s="27"/>
      <c r="H39" s="9"/>
      <c r="J39" s="10"/>
      <c r="K39" s="19"/>
    </row>
    <row r="40" spans="1:15" ht="15.75">
      <c r="A40" s="9"/>
      <c r="H40" s="9" t="s">
        <v>6</v>
      </c>
      <c r="I40" s="75">
        <f>I36*I38</f>
        <v>999599.99999999988</v>
      </c>
      <c r="J40" s="75"/>
      <c r="K40" s="75"/>
      <c r="L40" s="75"/>
    </row>
    <row r="41" spans="1:15">
      <c r="A41" s="9"/>
      <c r="H41" s="9"/>
      <c r="J41" s="10"/>
      <c r="K41" s="19"/>
    </row>
    <row r="42" spans="1:15">
      <c r="H42" s="9"/>
      <c r="I42" s="22"/>
      <c r="J42" s="23"/>
      <c r="K42" s="19"/>
    </row>
    <row r="43" spans="1:15">
      <c r="A43" s="9"/>
      <c r="B43" s="50"/>
      <c r="K43" s="19"/>
    </row>
    <row r="44" spans="1:15">
      <c r="K44" s="19"/>
    </row>
    <row r="45" spans="1:15">
      <c r="B45" s="51"/>
      <c r="K45" s="19"/>
    </row>
    <row r="46" spans="1:15">
      <c r="K46" s="19"/>
    </row>
    <row r="47" spans="1:15">
      <c r="K47" s="19"/>
    </row>
    <row r="48" spans="1:15">
      <c r="K48" s="19"/>
    </row>
    <row r="49" spans="11:11">
      <c r="K49" s="19"/>
    </row>
    <row r="50" spans="11:11">
      <c r="K50" s="19"/>
    </row>
  </sheetData>
  <mergeCells count="13">
    <mergeCell ref="I40:L40"/>
    <mergeCell ref="H2:P2"/>
    <mergeCell ref="I4:N4"/>
    <mergeCell ref="O4:O5"/>
    <mergeCell ref="M32:O32"/>
    <mergeCell ref="H4:H5"/>
    <mergeCell ref="I12:N12"/>
    <mergeCell ref="M5:N5"/>
    <mergeCell ref="K5:L5"/>
    <mergeCell ref="I5:J5"/>
    <mergeCell ref="I34:K34"/>
    <mergeCell ref="I36:K36"/>
    <mergeCell ref="I38:L38"/>
  </mergeCells>
  <phoneticPr fontId="2" type="noConversion"/>
  <dataValidations count="2">
    <dataValidation type="list" operator="equal" allowBlank="1" showInputMessage="1" showErrorMessage="1" sqref="C3:C20">
      <formula1>"ALTA,MEDIA,BAJA"</formula1>
    </dataValidation>
    <dataValidation type="list" allowBlank="1" showInputMessage="1" showErrorMessage="1" sqref="B3:B20">
      <formula1>"ENTRADA,SALIDA,CONSULTA,ARCHIVO,INTERFACE"</formula1>
    </dataValidation>
  </dataValidations>
  <pageMargins left="0.75" right="0.75" top="1.33" bottom="1" header="0.5" footer="0"/>
  <pageSetup orientation="portrait" horizontalDpi="300" verticalDpi="300" r:id="rId2"/>
  <headerFooter alignWithMargins="0">
    <oddHeader>&amp;CSISTEMA COLEGIO SANTA ANA
CALCULO COSTO&amp;R&amp;D</oddHeader>
  </headerFooter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 enableFormatConditionsCalculation="0">
    <tabColor indexed="43"/>
  </sheetPr>
  <dimension ref="A1:S50"/>
  <sheetViews>
    <sheetView showGridLines="0" topLeftCell="A10" workbookViewId="0">
      <selection activeCell="A59" sqref="A59"/>
    </sheetView>
  </sheetViews>
  <sheetFormatPr baseColWidth="10" defaultRowHeight="12.75"/>
  <cols>
    <col min="1" max="1" width="23.42578125" style="8" customWidth="1"/>
    <col min="2" max="3" width="11.7109375" style="8" customWidth="1"/>
    <col min="4" max="4" width="8.140625" style="8" customWidth="1"/>
    <col min="5" max="5" width="14.85546875" style="8" customWidth="1"/>
    <col min="6" max="6" width="9" style="8" customWidth="1"/>
    <col min="7" max="7" width="8.85546875" style="8" customWidth="1"/>
    <col min="8" max="8" width="38" style="8" customWidth="1"/>
    <col min="9" max="14" width="3.7109375" style="8" customWidth="1"/>
    <col min="15" max="15" width="7.7109375" style="8" customWidth="1"/>
    <col min="16" max="16" width="11.42578125" style="8"/>
    <col min="17" max="17" width="38.42578125" style="9" customWidth="1"/>
    <col min="18" max="18" width="16" style="8" customWidth="1"/>
    <col min="19" max="19" width="13.85546875" style="10" customWidth="1"/>
    <col min="20" max="16384" width="11.42578125" style="8"/>
  </cols>
  <sheetData>
    <row r="1" spans="1:16">
      <c r="A1" s="5"/>
      <c r="B1" s="5"/>
      <c r="C1" s="5"/>
      <c r="D1" s="6"/>
      <c r="E1" s="7"/>
      <c r="F1" s="7"/>
    </row>
    <row r="2" spans="1:16">
      <c r="A2" s="11"/>
      <c r="B2" s="11" t="s">
        <v>29</v>
      </c>
      <c r="C2" s="11" t="s">
        <v>27</v>
      </c>
      <c r="D2" s="6"/>
      <c r="E2" s="6"/>
      <c r="F2" s="7"/>
      <c r="H2" s="76" t="s">
        <v>0</v>
      </c>
      <c r="I2" s="76"/>
      <c r="J2" s="76"/>
      <c r="K2" s="76"/>
      <c r="L2" s="76"/>
      <c r="M2" s="76"/>
      <c r="N2" s="76"/>
      <c r="O2" s="76"/>
      <c r="P2" s="76"/>
    </row>
    <row r="3" spans="1:16">
      <c r="A3" s="1" t="s">
        <v>37</v>
      </c>
      <c r="B3" s="1" t="s">
        <v>30</v>
      </c>
      <c r="C3" s="1" t="s">
        <v>38</v>
      </c>
      <c r="D3" s="6"/>
      <c r="E3" s="2"/>
      <c r="F3" s="7"/>
    </row>
    <row r="4" spans="1:16">
      <c r="A4" s="1" t="s">
        <v>39</v>
      </c>
      <c r="B4" s="1" t="s">
        <v>30</v>
      </c>
      <c r="C4" s="1" t="s">
        <v>38</v>
      </c>
      <c r="D4" s="6"/>
      <c r="E4" s="2"/>
      <c r="F4" s="7"/>
      <c r="H4" s="82" t="s">
        <v>1</v>
      </c>
      <c r="I4" s="77" t="s">
        <v>2</v>
      </c>
      <c r="J4" s="78"/>
      <c r="K4" s="78"/>
      <c r="L4" s="78"/>
      <c r="M4" s="78"/>
      <c r="N4" s="79"/>
      <c r="O4" s="80" t="s">
        <v>6</v>
      </c>
    </row>
    <row r="5" spans="1:16">
      <c r="A5" s="1" t="s">
        <v>40</v>
      </c>
      <c r="B5" s="1" t="s">
        <v>30</v>
      </c>
      <c r="C5" s="1" t="s">
        <v>5</v>
      </c>
      <c r="D5" s="6"/>
      <c r="E5" s="2"/>
      <c r="F5" s="7"/>
      <c r="H5" s="82"/>
      <c r="I5" s="77" t="s">
        <v>3</v>
      </c>
      <c r="J5" s="79"/>
      <c r="K5" s="77" t="s">
        <v>4</v>
      </c>
      <c r="L5" s="79"/>
      <c r="M5" s="77" t="s">
        <v>5</v>
      </c>
      <c r="N5" s="79"/>
      <c r="O5" s="81"/>
    </row>
    <row r="6" spans="1:16" ht="14.25">
      <c r="A6" s="1" t="s">
        <v>41</v>
      </c>
      <c r="B6" s="1" t="s">
        <v>30</v>
      </c>
      <c r="C6" s="1" t="s">
        <v>28</v>
      </c>
      <c r="D6" s="6"/>
      <c r="E6" s="2"/>
      <c r="F6" s="7"/>
      <c r="H6" s="12" t="s">
        <v>30</v>
      </c>
      <c r="I6" s="38">
        <f>IF(ISERROR(GETPIVOTDATA("TIPO",$A$23,"TIPO",H6,"COMPLEJIDAD","BAJA")),0,GETPIVOTDATA("TIPO",$A$23,"TIPO",H6,"COMPLEJIDAD","BAJA"))</f>
        <v>1</v>
      </c>
      <c r="J6" s="39">
        <v>3</v>
      </c>
      <c r="K6" s="38">
        <f>IF(ISERROR(GETPIVOTDATA("TIPO",$A$23,"TIPO",H6,"COMPLEJIDAD","MEDIA")),0,GETPIVOTDATA("TIPO",$A$23,"TIPO",H6,"COMPLEJIDAD","MEDIA"))</f>
        <v>2</v>
      </c>
      <c r="L6" s="39">
        <v>4</v>
      </c>
      <c r="M6" s="38">
        <f>IF(ISERROR(GETPIVOTDATA("TIPO",$A$23,"TIPO",H6,"COMPLEJIDAD","ALTA")),0,GETPIVOTDATA("TIPO",$A$23,"TIPO",H6,"COMPLEJIDAD","ALTA"))</f>
        <v>1</v>
      </c>
      <c r="N6" s="39">
        <v>6</v>
      </c>
      <c r="O6" s="13">
        <f>(I6*J6)+(K6*L6)+(M6*N6)</f>
        <v>17</v>
      </c>
    </row>
    <row r="7" spans="1:16" ht="14.25">
      <c r="A7" s="1" t="s">
        <v>39</v>
      </c>
      <c r="B7" s="1" t="s">
        <v>31</v>
      </c>
      <c r="C7" s="1" t="s">
        <v>38</v>
      </c>
      <c r="D7" s="6"/>
      <c r="E7" s="2"/>
      <c r="F7" s="7"/>
      <c r="H7" s="12" t="s">
        <v>32</v>
      </c>
      <c r="I7" s="38">
        <f>IF(ISERROR(GETPIVOTDATA("TIPO",$A$23,"TIPO",H7,"COMPLEJIDAD","BAJA")),0,GETPIVOTDATA("TIPO",$A$23,"TIPO",H7,"COMPLEJIDAD","BAJA"))</f>
        <v>3</v>
      </c>
      <c r="J7" s="39">
        <v>4</v>
      </c>
      <c r="K7" s="38">
        <f>IF(ISERROR(GETPIVOTDATA("TIPO",$A$23,"TIPO",H7,"COMPLEJIDAD","MEDIA")),0,GETPIVOTDATA("TIPO",$A$23,"TIPO",H7,"COMPLEJIDAD","MEDIA"))</f>
        <v>3</v>
      </c>
      <c r="L7" s="39">
        <v>5</v>
      </c>
      <c r="M7" s="38">
        <f>IF(ISERROR(GETPIVOTDATA("TIPO",$A$23,"TIPO",H7,"COMPLEJIDAD","ALTA")),0,GETPIVOTDATA("TIPO",$A$23,"TIPO",H7,"COMPLEJIDAD","ALTA"))</f>
        <v>0</v>
      </c>
      <c r="N7" s="39">
        <v>7</v>
      </c>
      <c r="O7" s="13">
        <f>(I7*J7)+(K7*L7)+(M7*N7)</f>
        <v>27</v>
      </c>
    </row>
    <row r="8" spans="1:16" ht="14.25">
      <c r="A8" s="1" t="s">
        <v>42</v>
      </c>
      <c r="B8" s="1" t="s">
        <v>31</v>
      </c>
      <c r="C8" s="1" t="s">
        <v>38</v>
      </c>
      <c r="D8" s="6"/>
      <c r="E8" s="2"/>
      <c r="F8" s="7"/>
      <c r="H8" s="12" t="s">
        <v>35</v>
      </c>
      <c r="I8" s="38">
        <f>IF(ISERROR(GETPIVOTDATA("TIPO",$A$23,"TIPO",H8,"COMPLEJIDAD","BAJA")),0,GETPIVOTDATA("TIPO",$A$23,"TIPO",H8,"COMPLEJIDAD","BAJA"))</f>
        <v>0</v>
      </c>
      <c r="J8" s="39">
        <v>3</v>
      </c>
      <c r="K8" s="38">
        <f>IF(ISERROR(GETPIVOTDATA("TIPO",$A$23,"TIPO",H8,"COMPLEJIDAD","MEDIA")),0,GETPIVOTDATA("TIPO",$A$23,"TIPO",H8,"COMPLEJIDAD","MEDIA"))</f>
        <v>0</v>
      </c>
      <c r="L8" s="39">
        <v>4</v>
      </c>
      <c r="M8" s="38">
        <f>IF(ISERROR(GETPIVOTDATA("TIPO",$A$23,"TIPO",H8,"COMPLEJIDAD","ALTA")),0,GETPIVOTDATA("TIPO",$A$23,"TIPO",H8,"COMPLEJIDAD","ALTA"))</f>
        <v>0</v>
      </c>
      <c r="N8" s="39">
        <v>6</v>
      </c>
      <c r="O8" s="13">
        <f>(I8*J8)+(K8*L8)+(M8*N8)</f>
        <v>0</v>
      </c>
    </row>
    <row r="9" spans="1:16" ht="14.25">
      <c r="A9" s="1" t="s">
        <v>40</v>
      </c>
      <c r="B9" s="1" t="s">
        <v>31</v>
      </c>
      <c r="C9" s="1" t="s">
        <v>38</v>
      </c>
      <c r="D9" s="6"/>
      <c r="E9" s="2"/>
      <c r="F9" s="7"/>
      <c r="H9" s="12" t="s">
        <v>31</v>
      </c>
      <c r="I9" s="38">
        <f>IF(ISERROR(GETPIVOTDATA("TIPO",$A$23,"TIPO",H9,"COMPLEJIDAD","BAJA")),0,GETPIVOTDATA("TIPO",$A$23,"TIPO",H9,"COMPLEJIDAD","BAJA"))</f>
        <v>0</v>
      </c>
      <c r="J9" s="39">
        <v>7</v>
      </c>
      <c r="K9" s="38">
        <f>IF(ISERROR(GETPIVOTDATA("TIPO",$A$23,"TIPO",H9,"COMPLEJIDAD","MEDIA")),0,GETPIVOTDATA("TIPO",$A$23,"TIPO",H9,"COMPLEJIDAD","MEDIA"))</f>
        <v>4</v>
      </c>
      <c r="L9" s="39">
        <v>10</v>
      </c>
      <c r="M9" s="38">
        <f>IF(ISERROR(GETPIVOTDATA("TIPO",$A$23,"TIPO",H9,"COMPLEJIDAD","ALTA")),0,GETPIVOTDATA("TIPO",$A$23,"TIPO",H9,"COMPLEJIDAD","ALTA"))</f>
        <v>0</v>
      </c>
      <c r="N9" s="39">
        <v>15</v>
      </c>
      <c r="O9" s="13">
        <f>(I9*J9)+(K9*L9)+(M9*N9)</f>
        <v>40</v>
      </c>
    </row>
    <row r="10" spans="1:16" ht="14.25">
      <c r="A10" s="1" t="s">
        <v>41</v>
      </c>
      <c r="B10" s="1" t="s">
        <v>31</v>
      </c>
      <c r="C10" s="1" t="s">
        <v>38</v>
      </c>
      <c r="D10" s="6"/>
      <c r="E10" s="2"/>
      <c r="F10" s="7"/>
      <c r="H10" s="12" t="s">
        <v>36</v>
      </c>
      <c r="I10" s="38">
        <f>IF(ISERROR(GETPIVOTDATA("TIPO",$A$23,"TIPO",H10,"COMPLEJIDAD","BAJA")),0,GETPIVOTDATA("TIPO",$A$23,"TIPO",H10,"COMPLEJIDAD","BAJA"))</f>
        <v>0</v>
      </c>
      <c r="J10" s="39">
        <v>5</v>
      </c>
      <c r="K10" s="38">
        <f>IF(ISERROR(GETPIVOTDATA("TIPO",$A$23,"TIPO",H10,"COMPLEJIDAD","MEDIA")),0,GETPIVOTDATA("TIPO",$A$23,"TIPO",H10,"COMPLEJIDAD","MEDIA"))</f>
        <v>0</v>
      </c>
      <c r="L10" s="39">
        <v>7</v>
      </c>
      <c r="M10" s="38">
        <f>IF(ISERROR(GETPIVOTDATA("TIPO",$A$23,"TIPO",H10,"COMPLEJIDAD","ALTA")),0,GETPIVOTDATA("TIPO",$A$23,"TIPO",H10,"COMPLEJIDAD","ALTA"))</f>
        <v>1</v>
      </c>
      <c r="N10" s="39">
        <v>10</v>
      </c>
      <c r="O10" s="13">
        <f>(I10*J10)+(K10*L10)+(M10*N10)</f>
        <v>10</v>
      </c>
    </row>
    <row r="11" spans="1:16">
      <c r="A11" s="1" t="s">
        <v>43</v>
      </c>
      <c r="B11" s="1" t="s">
        <v>32</v>
      </c>
      <c r="C11" s="1" t="s">
        <v>38</v>
      </c>
      <c r="D11" s="6"/>
      <c r="E11" s="2"/>
      <c r="F11" s="7"/>
    </row>
    <row r="12" spans="1:16">
      <c r="A12" s="1" t="s">
        <v>44</v>
      </c>
      <c r="B12" s="1" t="s">
        <v>32</v>
      </c>
      <c r="C12" s="1" t="s">
        <v>38</v>
      </c>
      <c r="D12" s="6"/>
      <c r="E12" s="2"/>
      <c r="F12" s="7"/>
      <c r="I12" s="83" t="s">
        <v>7</v>
      </c>
      <c r="J12" s="83"/>
      <c r="K12" s="83"/>
      <c r="L12" s="83"/>
      <c r="M12" s="83"/>
      <c r="N12" s="83"/>
      <c r="O12" s="14">
        <f>SUM(O6:O11)</f>
        <v>94</v>
      </c>
    </row>
    <row r="13" spans="1:16">
      <c r="A13" s="1" t="s">
        <v>43</v>
      </c>
      <c r="B13" s="1" t="s">
        <v>32</v>
      </c>
      <c r="C13" s="1" t="s">
        <v>28</v>
      </c>
      <c r="D13" s="6"/>
      <c r="E13" s="2"/>
      <c r="F13" s="7"/>
    </row>
    <row r="14" spans="1:16">
      <c r="A14" s="1" t="s">
        <v>45</v>
      </c>
      <c r="B14" s="1" t="s">
        <v>32</v>
      </c>
      <c r="C14" s="1" t="s">
        <v>28</v>
      </c>
      <c r="D14" s="6"/>
      <c r="E14" s="2"/>
      <c r="F14" s="7"/>
      <c r="H14" s="12"/>
      <c r="I14" s="12" t="s">
        <v>22</v>
      </c>
    </row>
    <row r="15" spans="1:16">
      <c r="A15" s="1" t="s">
        <v>46</v>
      </c>
      <c r="B15" s="1" t="s">
        <v>32</v>
      </c>
      <c r="C15" s="1" t="s">
        <v>28</v>
      </c>
      <c r="D15" s="6"/>
      <c r="E15" s="2"/>
      <c r="F15" s="7"/>
      <c r="H15" s="12" t="s">
        <v>8</v>
      </c>
      <c r="I15" s="15">
        <v>3</v>
      </c>
    </row>
    <row r="16" spans="1:16">
      <c r="A16" s="4" t="s">
        <v>47</v>
      </c>
      <c r="B16" s="1" t="s">
        <v>32</v>
      </c>
      <c r="C16" s="1" t="s">
        <v>38</v>
      </c>
      <c r="D16" s="6"/>
      <c r="E16" s="2"/>
      <c r="F16" s="7"/>
      <c r="H16" s="12" t="s">
        <v>9</v>
      </c>
      <c r="I16" s="15">
        <v>1</v>
      </c>
    </row>
    <row r="17" spans="1:15">
      <c r="A17" s="4" t="s">
        <v>48</v>
      </c>
      <c r="B17" s="1" t="s">
        <v>36</v>
      </c>
      <c r="C17" s="1" t="s">
        <v>5</v>
      </c>
      <c r="D17" s="6"/>
      <c r="E17" s="2"/>
      <c r="F17" s="7"/>
      <c r="H17" s="12" t="s">
        <v>10</v>
      </c>
      <c r="I17" s="15">
        <v>2</v>
      </c>
    </row>
    <row r="18" spans="1:15">
      <c r="A18" s="1"/>
      <c r="B18" s="1"/>
      <c r="C18" s="4"/>
      <c r="D18" s="6"/>
      <c r="E18" s="2"/>
      <c r="F18" s="7"/>
      <c r="H18" s="12" t="s">
        <v>11</v>
      </c>
      <c r="I18" s="15">
        <v>2</v>
      </c>
    </row>
    <row r="19" spans="1:15">
      <c r="A19" s="1"/>
      <c r="B19" s="1"/>
      <c r="C19" s="1"/>
      <c r="D19" s="6"/>
      <c r="E19" s="2"/>
      <c r="F19" s="7"/>
      <c r="H19" s="12" t="s">
        <v>12</v>
      </c>
      <c r="I19" s="15">
        <v>3</v>
      </c>
    </row>
    <row r="20" spans="1:15">
      <c r="A20" s="1"/>
      <c r="B20" s="1"/>
      <c r="C20" s="1"/>
      <c r="D20" s="6"/>
      <c r="E20" s="2"/>
      <c r="F20" s="7"/>
      <c r="H20" s="12" t="s">
        <v>13</v>
      </c>
      <c r="I20" s="15">
        <v>2</v>
      </c>
    </row>
    <row r="21" spans="1:15" ht="15">
      <c r="A21" s="16"/>
      <c r="B21" s="16"/>
      <c r="C21" s="17"/>
      <c r="D21" s="7"/>
      <c r="E21" s="3"/>
      <c r="F21" s="7"/>
      <c r="H21" s="12" t="s">
        <v>14</v>
      </c>
      <c r="I21" s="15">
        <v>3</v>
      </c>
    </row>
    <row r="22" spans="1:15">
      <c r="A22" s="26"/>
      <c r="B22" s="26"/>
      <c r="C22" s="27"/>
      <c r="D22" s="27"/>
      <c r="E22" s="28"/>
      <c r="F22" s="27"/>
      <c r="H22" s="12" t="s">
        <v>15</v>
      </c>
      <c r="I22" s="15">
        <v>2</v>
      </c>
    </row>
    <row r="23" spans="1:15">
      <c r="A23" s="29" t="s">
        <v>33</v>
      </c>
      <c r="B23" s="29" t="s">
        <v>27</v>
      </c>
      <c r="C23" s="40"/>
      <c r="D23" s="40"/>
      <c r="E23" s="30"/>
      <c r="F23" s="27"/>
      <c r="H23" s="12" t="s">
        <v>16</v>
      </c>
      <c r="I23" s="15">
        <v>3</v>
      </c>
    </row>
    <row r="24" spans="1:15">
      <c r="A24" s="29" t="s">
        <v>29</v>
      </c>
      <c r="B24" s="31" t="s">
        <v>28</v>
      </c>
      <c r="C24" s="41" t="s">
        <v>38</v>
      </c>
      <c r="D24" s="41" t="s">
        <v>5</v>
      </c>
      <c r="E24" s="32" t="s">
        <v>34</v>
      </c>
      <c r="F24" s="27"/>
      <c r="H24" s="12" t="s">
        <v>17</v>
      </c>
      <c r="I24" s="15">
        <v>2</v>
      </c>
    </row>
    <row r="25" spans="1:15">
      <c r="A25" s="31" t="s">
        <v>30</v>
      </c>
      <c r="B25" s="33">
        <v>1</v>
      </c>
      <c r="C25" s="42">
        <v>2</v>
      </c>
      <c r="D25" s="42">
        <v>1</v>
      </c>
      <c r="E25" s="34">
        <v>4</v>
      </c>
      <c r="F25" s="27"/>
      <c r="H25" s="12" t="s">
        <v>18</v>
      </c>
      <c r="I25" s="15">
        <v>3</v>
      </c>
    </row>
    <row r="26" spans="1:15">
      <c r="A26" s="43" t="s">
        <v>32</v>
      </c>
      <c r="B26" s="44">
        <v>3</v>
      </c>
      <c r="C26" s="45">
        <v>3</v>
      </c>
      <c r="D26" s="45">
        <v>0</v>
      </c>
      <c r="E26" s="46">
        <v>6</v>
      </c>
      <c r="F26" s="27"/>
      <c r="H26" s="12" t="s">
        <v>19</v>
      </c>
      <c r="I26" s="15">
        <v>2</v>
      </c>
    </row>
    <row r="27" spans="1:15">
      <c r="A27" s="43" t="s">
        <v>31</v>
      </c>
      <c r="B27" s="44">
        <v>0</v>
      </c>
      <c r="C27" s="45">
        <v>4</v>
      </c>
      <c r="D27" s="45">
        <v>0</v>
      </c>
      <c r="E27" s="46">
        <v>4</v>
      </c>
      <c r="F27" s="27"/>
      <c r="H27" s="12" t="s">
        <v>20</v>
      </c>
      <c r="I27" s="15">
        <v>3</v>
      </c>
    </row>
    <row r="28" spans="1:15">
      <c r="A28" s="43" t="s">
        <v>36</v>
      </c>
      <c r="B28" s="44">
        <v>0</v>
      </c>
      <c r="C28" s="45">
        <v>0</v>
      </c>
      <c r="D28" s="45">
        <v>1</v>
      </c>
      <c r="E28" s="46">
        <v>1</v>
      </c>
      <c r="F28" s="27"/>
      <c r="H28" s="12" t="s">
        <v>21</v>
      </c>
      <c r="I28" s="15">
        <v>2</v>
      </c>
    </row>
    <row r="29" spans="1:15">
      <c r="A29" s="35" t="s">
        <v>34</v>
      </c>
      <c r="B29" s="36">
        <v>4</v>
      </c>
      <c r="C29" s="47">
        <v>9</v>
      </c>
      <c r="D29" s="47">
        <v>2</v>
      </c>
      <c r="E29" s="37">
        <v>15</v>
      </c>
      <c r="F29" s="27"/>
    </row>
    <row r="30" spans="1:15">
      <c r="A30"/>
      <c r="B30"/>
      <c r="C30"/>
      <c r="D30"/>
      <c r="E30"/>
      <c r="F30" s="27"/>
      <c r="H30" s="8" t="s">
        <v>23</v>
      </c>
      <c r="I30" s="18">
        <f>SUM(I15:I28)</f>
        <v>33</v>
      </c>
    </row>
    <row r="31" spans="1:15">
      <c r="A31" s="27"/>
      <c r="B31" s="27"/>
      <c r="C31" s="27"/>
      <c r="D31" s="27"/>
      <c r="E31" s="27"/>
      <c r="F31" s="27"/>
    </row>
    <row r="32" spans="1:15">
      <c r="A32" s="27"/>
      <c r="B32" s="27"/>
      <c r="C32" s="27"/>
      <c r="D32" s="27"/>
      <c r="E32" s="27"/>
      <c r="F32" s="27"/>
      <c r="M32" s="76"/>
      <c r="N32" s="76"/>
      <c r="O32" s="76"/>
    </row>
    <row r="33" spans="1:15">
      <c r="A33" s="27"/>
      <c r="B33" s="27"/>
      <c r="C33" s="27"/>
      <c r="D33" s="27"/>
      <c r="E33" s="27"/>
      <c r="F33" s="27"/>
      <c r="K33" s="19"/>
      <c r="M33" s="20"/>
      <c r="N33" s="20"/>
      <c r="O33" s="20"/>
    </row>
    <row r="34" spans="1:15">
      <c r="A34" s="27"/>
      <c r="B34" s="27"/>
      <c r="C34" s="27"/>
      <c r="D34" s="27"/>
      <c r="E34" s="27"/>
      <c r="F34" s="27"/>
      <c r="H34" s="9" t="s">
        <v>24</v>
      </c>
      <c r="I34" s="76">
        <f>0.65+(0.01*I30)</f>
        <v>0.98</v>
      </c>
      <c r="J34" s="76"/>
      <c r="K34" s="76"/>
      <c r="M34" s="10" t="str">
        <f>" = 0,65+(0,01*" &amp; O12 &amp; ")"</f>
        <v xml:space="preserve"> = 0,65+(0,01*94)</v>
      </c>
    </row>
    <row r="35" spans="1:15">
      <c r="A35" s="27"/>
      <c r="B35" s="27"/>
      <c r="C35" s="27"/>
      <c r="D35" s="27"/>
      <c r="E35" s="27"/>
      <c r="F35" s="27"/>
      <c r="H35" s="9"/>
      <c r="J35" s="10"/>
      <c r="K35" s="19"/>
    </row>
    <row r="36" spans="1:15">
      <c r="A36" s="27"/>
      <c r="B36" s="27"/>
      <c r="C36" s="27"/>
      <c r="D36" s="27"/>
      <c r="E36" s="27"/>
      <c r="F36" s="27"/>
      <c r="H36" s="9" t="s">
        <v>25</v>
      </c>
      <c r="I36" s="76">
        <f>I34*O12</f>
        <v>92.12</v>
      </c>
      <c r="J36" s="76"/>
      <c r="K36" s="76"/>
      <c r="L36" s="21"/>
      <c r="M36" s="10" t="str">
        <f>"= ("&amp; I34 &amp; " * " &amp;I30 &amp;")"</f>
        <v>= (0,98 * 33)</v>
      </c>
    </row>
    <row r="37" spans="1:15">
      <c r="A37" s="27"/>
      <c r="B37" s="27"/>
      <c r="C37" s="27"/>
      <c r="D37" s="27"/>
      <c r="E37" s="27"/>
      <c r="F37" s="27"/>
      <c r="H37" s="9"/>
      <c r="J37" s="10"/>
      <c r="K37" s="19"/>
    </row>
    <row r="38" spans="1:15">
      <c r="A38" s="27"/>
      <c r="B38" s="27"/>
      <c r="C38" s="27"/>
      <c r="D38" s="27"/>
      <c r="E38" s="27"/>
      <c r="F38" s="27"/>
      <c r="H38" s="9" t="s">
        <v>26</v>
      </c>
      <c r="I38" s="84">
        <v>10000</v>
      </c>
      <c r="J38" s="84"/>
      <c r="K38" s="84"/>
      <c r="L38" s="84"/>
    </row>
    <row r="39" spans="1:15">
      <c r="A39" s="27"/>
      <c r="B39" s="27"/>
      <c r="C39" s="27"/>
      <c r="D39" s="27"/>
      <c r="E39" s="27"/>
      <c r="F39" s="27"/>
      <c r="H39" s="9"/>
      <c r="J39" s="10"/>
      <c r="K39" s="19"/>
    </row>
    <row r="40" spans="1:15" ht="15.75">
      <c r="A40" s="9"/>
      <c r="H40" s="9" t="s">
        <v>6</v>
      </c>
      <c r="I40" s="85">
        <f>I36*I38</f>
        <v>921200</v>
      </c>
      <c r="J40" s="85"/>
      <c r="K40" s="85"/>
      <c r="L40" s="85"/>
    </row>
    <row r="41" spans="1:15">
      <c r="A41" s="9"/>
      <c r="H41" s="9"/>
      <c r="J41" s="10"/>
      <c r="K41" s="19"/>
    </row>
    <row r="42" spans="1:15">
      <c r="H42" s="9"/>
      <c r="I42" s="22"/>
      <c r="J42" s="23"/>
      <c r="K42" s="19"/>
    </row>
    <row r="43" spans="1:15">
      <c r="A43" s="9"/>
      <c r="B43" s="24"/>
      <c r="K43" s="19"/>
    </row>
    <row r="44" spans="1:15">
      <c r="K44" s="19"/>
    </row>
    <row r="45" spans="1:15">
      <c r="B45" s="25"/>
      <c r="K45" s="19"/>
    </row>
    <row r="46" spans="1:15">
      <c r="K46" s="19"/>
    </row>
    <row r="47" spans="1:15">
      <c r="K47" s="19"/>
    </row>
    <row r="48" spans="1:15">
      <c r="K48" s="19"/>
    </row>
    <row r="49" spans="11:11">
      <c r="K49" s="19"/>
    </row>
    <row r="50" spans="11:11">
      <c r="K50" s="19"/>
    </row>
  </sheetData>
  <mergeCells count="13">
    <mergeCell ref="I40:L40"/>
    <mergeCell ref="H2:P2"/>
    <mergeCell ref="I4:N4"/>
    <mergeCell ref="O4:O5"/>
    <mergeCell ref="M32:O32"/>
    <mergeCell ref="H4:H5"/>
    <mergeCell ref="I12:N12"/>
    <mergeCell ref="M5:N5"/>
    <mergeCell ref="K5:L5"/>
    <mergeCell ref="I5:J5"/>
    <mergeCell ref="I34:K34"/>
    <mergeCell ref="I36:K36"/>
    <mergeCell ref="I38:L38"/>
  </mergeCells>
  <phoneticPr fontId="2" type="noConversion"/>
  <dataValidations count="2">
    <dataValidation type="list" operator="equal" allowBlank="1" showInputMessage="1" showErrorMessage="1" sqref="C3:C17 C19:C20">
      <formula1>"ALTA,MEDIA,BAJA"</formula1>
    </dataValidation>
    <dataValidation type="list" allowBlank="1" showInputMessage="1" showErrorMessage="1" sqref="B3:B20">
      <formula1>"ENTRADA,SALIDA,CONSULTA,ARCHIVO,INTERFACE"</formula1>
    </dataValidation>
  </dataValidations>
  <pageMargins left="0.75" right="0.75" top="1.33" bottom="1" header="0.5" footer="0"/>
  <pageSetup orientation="portrait" horizontalDpi="300" verticalDpi="300" r:id="rId2"/>
  <headerFooter alignWithMargins="0">
    <oddHeader>&amp;CSISTEMA COLEGIO SANTA ANA
CALCULO COSTO&amp;R&amp;D</oddHead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 enableFormatConditionsCalculation="0">
    <tabColor indexed="42"/>
  </sheetPr>
  <dimension ref="A1:S50"/>
  <sheetViews>
    <sheetView showGridLines="0" topLeftCell="A9" workbookViewId="0">
      <selection activeCell="A15" sqref="A15"/>
    </sheetView>
  </sheetViews>
  <sheetFormatPr baseColWidth="10" defaultRowHeight="12.75"/>
  <cols>
    <col min="1" max="1" width="23.42578125" style="8" customWidth="1"/>
    <col min="2" max="3" width="11.7109375" style="8" customWidth="1"/>
    <col min="4" max="4" width="8.140625" style="8" customWidth="1"/>
    <col min="5" max="5" width="14.85546875" style="8" customWidth="1"/>
    <col min="6" max="6" width="9" style="8" customWidth="1"/>
    <col min="7" max="7" width="8.85546875" style="8" customWidth="1"/>
    <col min="8" max="8" width="38" style="8" customWidth="1"/>
    <col min="9" max="14" width="3.7109375" style="8" customWidth="1"/>
    <col min="15" max="15" width="7.7109375" style="8" customWidth="1"/>
    <col min="16" max="16" width="11.42578125" style="8"/>
    <col min="17" max="17" width="38.42578125" style="9" customWidth="1"/>
    <col min="18" max="18" width="16" style="8" customWidth="1"/>
    <col min="19" max="19" width="13.85546875" style="10" customWidth="1"/>
    <col min="20" max="16384" width="11.42578125" style="8"/>
  </cols>
  <sheetData>
    <row r="1" spans="1:16">
      <c r="A1" s="5"/>
      <c r="B1" s="5"/>
      <c r="C1" s="5"/>
      <c r="D1" s="6"/>
      <c r="E1" s="7"/>
      <c r="F1" s="7"/>
    </row>
    <row r="2" spans="1:16">
      <c r="A2" s="11"/>
      <c r="B2" s="11" t="s">
        <v>29</v>
      </c>
      <c r="C2" s="11" t="s">
        <v>27</v>
      </c>
      <c r="D2" s="6"/>
      <c r="E2" s="6"/>
      <c r="F2" s="7"/>
      <c r="H2" s="76" t="s">
        <v>0</v>
      </c>
      <c r="I2" s="76"/>
      <c r="J2" s="76"/>
      <c r="K2" s="76"/>
      <c r="L2" s="76"/>
      <c r="M2" s="76"/>
      <c r="N2" s="76"/>
      <c r="O2" s="76"/>
      <c r="P2" s="76"/>
    </row>
    <row r="3" spans="1:16">
      <c r="A3" s="1" t="s">
        <v>51</v>
      </c>
      <c r="B3" s="1" t="s">
        <v>30</v>
      </c>
      <c r="C3" s="1" t="s">
        <v>38</v>
      </c>
      <c r="D3" s="6"/>
      <c r="E3" s="48"/>
      <c r="F3" s="7"/>
    </row>
    <row r="4" spans="1:16">
      <c r="A4" s="1" t="s">
        <v>52</v>
      </c>
      <c r="B4" s="1" t="s">
        <v>30</v>
      </c>
      <c r="C4" s="1" t="s">
        <v>38</v>
      </c>
      <c r="D4" s="6"/>
      <c r="E4" s="48"/>
      <c r="F4" s="7"/>
      <c r="H4" s="82" t="s">
        <v>1</v>
      </c>
      <c r="I4" s="77" t="s">
        <v>2</v>
      </c>
      <c r="J4" s="78"/>
      <c r="K4" s="78"/>
      <c r="L4" s="78"/>
      <c r="M4" s="78"/>
      <c r="N4" s="79"/>
      <c r="O4" s="80" t="s">
        <v>6</v>
      </c>
    </row>
    <row r="5" spans="1:16">
      <c r="A5" s="1" t="s">
        <v>50</v>
      </c>
      <c r="B5" s="1" t="s">
        <v>30</v>
      </c>
      <c r="C5" s="1" t="s">
        <v>5</v>
      </c>
      <c r="D5" s="6"/>
      <c r="E5" s="48"/>
      <c r="F5" s="7"/>
      <c r="H5" s="82"/>
      <c r="I5" s="77" t="s">
        <v>3</v>
      </c>
      <c r="J5" s="79"/>
      <c r="K5" s="77" t="s">
        <v>4</v>
      </c>
      <c r="L5" s="79"/>
      <c r="M5" s="77" t="s">
        <v>5</v>
      </c>
      <c r="N5" s="79"/>
      <c r="O5" s="81"/>
    </row>
    <row r="6" spans="1:16" ht="14.25">
      <c r="A6" s="1" t="s">
        <v>49</v>
      </c>
      <c r="B6" s="1" t="s">
        <v>31</v>
      </c>
      <c r="C6" s="1" t="s">
        <v>38</v>
      </c>
      <c r="D6" s="6"/>
      <c r="E6" s="48"/>
      <c r="F6" s="7"/>
      <c r="H6" s="12" t="s">
        <v>30</v>
      </c>
      <c r="I6" s="38">
        <f>IF(ISERROR(GETPIVOTDATA("TIPO",$A$23,"TIPO",H6,"COMPLEJIDAD","BAJA")),0,GETPIVOTDATA("TIPO",$A$23,"TIPO",H6,"COMPLEJIDAD","BAJA"))</f>
        <v>0</v>
      </c>
      <c r="J6" s="39">
        <v>3</v>
      </c>
      <c r="K6" s="38">
        <f>IF(ISERROR(GETPIVOTDATA("TIPO",$A$23,"TIPO",H6,"COMPLEJIDAD","MEDIA")),0,GETPIVOTDATA("TIPO",$A$23,"TIPO",H6,"COMPLEJIDAD","MEDIA"))</f>
        <v>2</v>
      </c>
      <c r="L6" s="39">
        <v>4</v>
      </c>
      <c r="M6" s="38">
        <f>IF(ISERROR(GETPIVOTDATA("TIPO",$A$23,"TIPO",H6,"COMPLEJIDAD","ALTA")),0,GETPIVOTDATA("TIPO",$A$23,"TIPO",H6,"COMPLEJIDAD","ALTA"))</f>
        <v>1</v>
      </c>
      <c r="N6" s="39">
        <v>6</v>
      </c>
      <c r="O6" s="13">
        <f>(I6*J6)+(K6*L6)+(M6*N6)</f>
        <v>14</v>
      </c>
    </row>
    <row r="7" spans="1:16" ht="14.25">
      <c r="A7" s="1" t="s">
        <v>50</v>
      </c>
      <c r="B7" s="1" t="s">
        <v>31</v>
      </c>
      <c r="C7" s="1" t="s">
        <v>38</v>
      </c>
      <c r="D7" s="6"/>
      <c r="E7" s="48"/>
      <c r="F7" s="7"/>
      <c r="H7" s="12" t="s">
        <v>32</v>
      </c>
      <c r="I7" s="38">
        <f>IF(ISERROR(GETPIVOTDATA("TIPO",$A$23,"TIPO",H7,"COMPLEJIDAD","BAJA")),0,GETPIVOTDATA("TIPO",$A$23,"TIPO",H7,"COMPLEJIDAD","BAJA"))</f>
        <v>0</v>
      </c>
      <c r="J7" s="39">
        <v>4</v>
      </c>
      <c r="K7" s="38">
        <f>IF(ISERROR(GETPIVOTDATA("TIPO",$A$23,"TIPO",H7,"COMPLEJIDAD","MEDIA")),0,GETPIVOTDATA("TIPO",$A$23,"TIPO",H7,"COMPLEJIDAD","MEDIA"))</f>
        <v>3</v>
      </c>
      <c r="L7" s="39">
        <v>5</v>
      </c>
      <c r="M7" s="38">
        <f>IF(ISERROR(GETPIVOTDATA("TIPO",$A$23,"TIPO",H7,"COMPLEJIDAD","ALTA")),0,GETPIVOTDATA("TIPO",$A$23,"TIPO",H7,"COMPLEJIDAD","ALTA"))</f>
        <v>0</v>
      </c>
      <c r="N7" s="39">
        <v>7</v>
      </c>
      <c r="O7" s="13">
        <f>(I7*J7)+(K7*L7)+(M7*N7)</f>
        <v>15</v>
      </c>
    </row>
    <row r="8" spans="1:16" ht="14.25">
      <c r="A8" s="4" t="s">
        <v>61</v>
      </c>
      <c r="B8" s="1" t="s">
        <v>31</v>
      </c>
      <c r="C8" s="1" t="s">
        <v>5</v>
      </c>
      <c r="D8" s="6"/>
      <c r="E8" s="48"/>
      <c r="F8" s="7"/>
      <c r="H8" s="12" t="s">
        <v>35</v>
      </c>
      <c r="I8" s="38">
        <f>IF(ISERROR(GETPIVOTDATA("TIPO",$A$23,"TIPO",H8,"COMPLEJIDAD","BAJA")),0,GETPIVOTDATA("TIPO",$A$23,"TIPO",H8,"COMPLEJIDAD","BAJA"))</f>
        <v>0</v>
      </c>
      <c r="J8" s="39">
        <v>3</v>
      </c>
      <c r="K8" s="38">
        <f>IF(ISERROR(GETPIVOTDATA("TIPO",$A$23,"TIPO",H8,"COMPLEJIDAD","MEDIA")),0,GETPIVOTDATA("TIPO",$A$23,"TIPO",H8,"COMPLEJIDAD","MEDIA"))</f>
        <v>0</v>
      </c>
      <c r="L8" s="39">
        <v>4</v>
      </c>
      <c r="M8" s="38">
        <f>IF(ISERROR(GETPIVOTDATA("TIPO",$A$23,"TIPO",H8,"COMPLEJIDAD","ALTA")),0,GETPIVOTDATA("TIPO",$A$23,"TIPO",H8,"COMPLEJIDAD","ALTA"))</f>
        <v>0</v>
      </c>
      <c r="N8" s="39">
        <v>6</v>
      </c>
      <c r="O8" s="13">
        <f>(I8*J8)+(K8*L8)+(M8*N8)</f>
        <v>0</v>
      </c>
    </row>
    <row r="9" spans="1:16" ht="14.25">
      <c r="A9" s="4" t="s">
        <v>59</v>
      </c>
      <c r="B9" s="1" t="s">
        <v>31</v>
      </c>
      <c r="C9" s="1" t="s">
        <v>5</v>
      </c>
      <c r="D9" s="6"/>
      <c r="E9" s="48"/>
      <c r="F9" s="7"/>
      <c r="H9" s="12" t="s">
        <v>31</v>
      </c>
      <c r="I9" s="38">
        <f>IF(ISERROR(GETPIVOTDATA("TIPO",$A$23,"TIPO",H9,"COMPLEJIDAD","BAJA")),0,GETPIVOTDATA("TIPO",$A$23,"TIPO",H9,"COMPLEJIDAD","BAJA"))</f>
        <v>0</v>
      </c>
      <c r="J9" s="39">
        <v>7</v>
      </c>
      <c r="K9" s="38">
        <f>IF(ISERROR(GETPIVOTDATA("TIPO",$A$23,"TIPO",H9,"COMPLEJIDAD","MEDIA")),0,GETPIVOTDATA("TIPO",$A$23,"TIPO",H9,"COMPLEJIDAD","MEDIA"))</f>
        <v>2</v>
      </c>
      <c r="L9" s="39">
        <v>10</v>
      </c>
      <c r="M9" s="38">
        <f>IF(ISERROR(GETPIVOTDATA("TIPO",$A$23,"TIPO",H9,"COMPLEJIDAD","ALTA")),0,GETPIVOTDATA("TIPO",$A$23,"TIPO",H9,"COMPLEJIDAD","ALTA"))</f>
        <v>2</v>
      </c>
      <c r="N9" s="39">
        <v>15</v>
      </c>
      <c r="O9" s="13">
        <f>(I9*J9)+(K9*L9)+(M9*N9)</f>
        <v>50</v>
      </c>
    </row>
    <row r="10" spans="1:16" ht="14.25">
      <c r="A10" s="4" t="s">
        <v>53</v>
      </c>
      <c r="B10" s="1" t="s">
        <v>36</v>
      </c>
      <c r="C10" s="1" t="s">
        <v>5</v>
      </c>
      <c r="D10" s="6"/>
      <c r="E10" s="48"/>
      <c r="F10" s="7"/>
      <c r="H10" s="12" t="s">
        <v>36</v>
      </c>
      <c r="I10" s="38">
        <f>IF(ISERROR(GETPIVOTDATA("TIPO",$A$23,"TIPO",H10,"COMPLEJIDAD","BAJA")),0,GETPIVOTDATA("TIPO",$A$23,"TIPO",H10,"COMPLEJIDAD","BAJA"))</f>
        <v>0</v>
      </c>
      <c r="J10" s="39">
        <v>5</v>
      </c>
      <c r="K10" s="38">
        <f>IF(ISERROR(GETPIVOTDATA("TIPO",$A$23,"TIPO",H10,"COMPLEJIDAD","MEDIA")),0,GETPIVOTDATA("TIPO",$A$23,"TIPO",H10,"COMPLEJIDAD","MEDIA"))</f>
        <v>0</v>
      </c>
      <c r="L10" s="39">
        <v>7</v>
      </c>
      <c r="M10" s="38">
        <f>IF(ISERROR(GETPIVOTDATA("TIPO",$A$23,"TIPO",H10,"COMPLEJIDAD","ALTA")),0,GETPIVOTDATA("TIPO",$A$23,"TIPO",H10,"COMPLEJIDAD","ALTA"))</f>
        <v>2</v>
      </c>
      <c r="N10" s="39">
        <v>10</v>
      </c>
      <c r="O10" s="13">
        <f>(I10*J10)+(K10*L10)+(M10*N10)</f>
        <v>20</v>
      </c>
    </row>
    <row r="11" spans="1:16">
      <c r="A11" s="4" t="s">
        <v>54</v>
      </c>
      <c r="B11" s="1" t="s">
        <v>36</v>
      </c>
      <c r="C11" s="1" t="s">
        <v>5</v>
      </c>
      <c r="D11" s="6"/>
      <c r="E11" s="48"/>
      <c r="F11" s="7"/>
    </row>
    <row r="12" spans="1:16">
      <c r="A12" s="1" t="s">
        <v>62</v>
      </c>
      <c r="B12" s="1" t="s">
        <v>32</v>
      </c>
      <c r="C12" s="1" t="s">
        <v>38</v>
      </c>
      <c r="D12" s="6"/>
      <c r="E12" s="48"/>
      <c r="F12" s="7"/>
      <c r="I12" s="83" t="s">
        <v>7</v>
      </c>
      <c r="J12" s="83"/>
      <c r="K12" s="83"/>
      <c r="L12" s="83"/>
      <c r="M12" s="83"/>
      <c r="N12" s="83"/>
      <c r="O12" s="14">
        <f>SUM(O6:O11)</f>
        <v>99</v>
      </c>
    </row>
    <row r="13" spans="1:16">
      <c r="A13" s="1" t="s">
        <v>63</v>
      </c>
      <c r="B13" s="1" t="s">
        <v>32</v>
      </c>
      <c r="C13" s="1" t="s">
        <v>38</v>
      </c>
      <c r="D13" s="6"/>
      <c r="E13" s="48"/>
      <c r="F13" s="7"/>
    </row>
    <row r="14" spans="1:16">
      <c r="A14" s="1" t="s">
        <v>64</v>
      </c>
      <c r="B14" s="1" t="s">
        <v>32</v>
      </c>
      <c r="C14" s="1" t="s">
        <v>38</v>
      </c>
      <c r="D14" s="6"/>
      <c r="E14" s="48"/>
      <c r="F14" s="7"/>
      <c r="H14" s="12"/>
      <c r="I14" s="12" t="s">
        <v>22</v>
      </c>
    </row>
    <row r="15" spans="1:16">
      <c r="A15" s="1"/>
      <c r="B15" s="1"/>
      <c r="C15" s="1"/>
      <c r="D15" s="6"/>
      <c r="E15" s="48"/>
      <c r="F15" s="7"/>
      <c r="H15" s="12" t="s">
        <v>8</v>
      </c>
      <c r="I15" s="15">
        <v>3</v>
      </c>
    </row>
    <row r="16" spans="1:16">
      <c r="A16" s="4"/>
      <c r="B16" s="1"/>
      <c r="C16" s="1"/>
      <c r="D16" s="6"/>
      <c r="E16" s="48"/>
      <c r="F16" s="7"/>
      <c r="H16" s="12" t="s">
        <v>9</v>
      </c>
      <c r="I16" s="15">
        <v>1</v>
      </c>
    </row>
    <row r="17" spans="1:15">
      <c r="A17" s="4"/>
      <c r="B17" s="1"/>
      <c r="C17" s="1"/>
      <c r="D17" s="6"/>
      <c r="E17" s="48"/>
      <c r="F17" s="7"/>
      <c r="H17" s="12" t="s">
        <v>10</v>
      </c>
      <c r="I17" s="15">
        <v>2</v>
      </c>
    </row>
    <row r="18" spans="1:15">
      <c r="A18" s="1"/>
      <c r="B18" s="1"/>
      <c r="C18" s="4"/>
      <c r="D18" s="6"/>
      <c r="E18" s="48"/>
      <c r="F18" s="7"/>
      <c r="H18" s="12" t="s">
        <v>11</v>
      </c>
      <c r="I18" s="15">
        <v>2</v>
      </c>
    </row>
    <row r="19" spans="1:15">
      <c r="A19" s="1"/>
      <c r="B19" s="1"/>
      <c r="C19" s="1"/>
      <c r="D19" s="6"/>
      <c r="E19" s="48"/>
      <c r="F19" s="7"/>
      <c r="H19" s="12" t="s">
        <v>12</v>
      </c>
      <c r="I19" s="15">
        <v>3</v>
      </c>
    </row>
    <row r="20" spans="1:15">
      <c r="A20" s="1"/>
      <c r="B20" s="1"/>
      <c r="C20" s="1"/>
      <c r="D20" s="6"/>
      <c r="E20" s="48"/>
      <c r="F20" s="7"/>
      <c r="H20" s="12" t="s">
        <v>13</v>
      </c>
      <c r="I20" s="15">
        <v>2</v>
      </c>
    </row>
    <row r="21" spans="1:15" ht="15">
      <c r="A21" s="16"/>
      <c r="B21" s="16"/>
      <c r="C21" s="49"/>
      <c r="D21" s="7"/>
      <c r="E21" s="3"/>
      <c r="F21" s="7"/>
      <c r="H21" s="12" t="s">
        <v>14</v>
      </c>
      <c r="I21" s="15">
        <v>3</v>
      </c>
    </row>
    <row r="22" spans="1:15">
      <c r="A22" s="26"/>
      <c r="B22" s="26"/>
      <c r="C22" s="27"/>
      <c r="D22" s="27"/>
      <c r="E22" s="28"/>
      <c r="F22" s="27"/>
      <c r="H22" s="12" t="s">
        <v>15</v>
      </c>
      <c r="I22" s="15">
        <v>2</v>
      </c>
    </row>
    <row r="23" spans="1:15">
      <c r="A23" s="29" t="s">
        <v>33</v>
      </c>
      <c r="B23" s="29" t="s">
        <v>27</v>
      </c>
      <c r="C23" s="40"/>
      <c r="D23" s="30"/>
      <c r="E23"/>
      <c r="F23" s="27"/>
      <c r="H23" s="12" t="s">
        <v>16</v>
      </c>
      <c r="I23" s="15">
        <v>3</v>
      </c>
    </row>
    <row r="24" spans="1:15">
      <c r="A24" s="29" t="s">
        <v>29</v>
      </c>
      <c r="B24" s="31" t="s">
        <v>38</v>
      </c>
      <c r="C24" s="41" t="s">
        <v>5</v>
      </c>
      <c r="D24" s="32" t="s">
        <v>34</v>
      </c>
      <c r="E24"/>
      <c r="F24" s="27"/>
      <c r="H24" s="12" t="s">
        <v>17</v>
      </c>
      <c r="I24" s="15">
        <v>2</v>
      </c>
    </row>
    <row r="25" spans="1:15">
      <c r="A25" s="31" t="s">
        <v>30</v>
      </c>
      <c r="B25" s="33">
        <v>2</v>
      </c>
      <c r="C25" s="42">
        <v>1</v>
      </c>
      <c r="D25" s="34">
        <v>3</v>
      </c>
      <c r="E25"/>
      <c r="F25" s="27"/>
      <c r="H25" s="12" t="s">
        <v>18</v>
      </c>
      <c r="I25" s="15">
        <v>3</v>
      </c>
    </row>
    <row r="26" spans="1:15">
      <c r="A26" s="43" t="s">
        <v>32</v>
      </c>
      <c r="B26" s="44">
        <v>3</v>
      </c>
      <c r="C26" s="45">
        <v>0</v>
      </c>
      <c r="D26" s="46">
        <v>3</v>
      </c>
      <c r="E26"/>
      <c r="F26" s="27"/>
      <c r="H26" s="12" t="s">
        <v>19</v>
      </c>
      <c r="I26" s="15">
        <v>2</v>
      </c>
    </row>
    <row r="27" spans="1:15">
      <c r="A27" s="43" t="s">
        <v>31</v>
      </c>
      <c r="B27" s="44">
        <v>2</v>
      </c>
      <c r="C27" s="45">
        <v>2</v>
      </c>
      <c r="D27" s="46">
        <v>4</v>
      </c>
      <c r="E27"/>
      <c r="F27" s="27"/>
      <c r="H27" s="12" t="s">
        <v>20</v>
      </c>
      <c r="I27" s="15">
        <v>3</v>
      </c>
    </row>
    <row r="28" spans="1:15">
      <c r="A28" s="43" t="s">
        <v>36</v>
      </c>
      <c r="B28" s="44">
        <v>0</v>
      </c>
      <c r="C28" s="45">
        <v>2</v>
      </c>
      <c r="D28" s="46">
        <v>2</v>
      </c>
      <c r="E28"/>
      <c r="F28" s="27"/>
      <c r="H28" s="12" t="s">
        <v>21</v>
      </c>
      <c r="I28" s="15">
        <v>2</v>
      </c>
    </row>
    <row r="29" spans="1:15">
      <c r="A29" s="35" t="s">
        <v>34</v>
      </c>
      <c r="B29" s="52">
        <v>7</v>
      </c>
      <c r="C29" s="53">
        <v>5</v>
      </c>
      <c r="D29" s="54">
        <v>12</v>
      </c>
      <c r="E29"/>
      <c r="F29" s="27"/>
    </row>
    <row r="30" spans="1:15">
      <c r="A30"/>
      <c r="B30"/>
      <c r="C30"/>
      <c r="D30"/>
      <c r="E30"/>
      <c r="F30" s="27"/>
      <c r="H30" s="8" t="s">
        <v>23</v>
      </c>
      <c r="I30" s="18">
        <f>SUM(I15:I28)</f>
        <v>33</v>
      </c>
    </row>
    <row r="31" spans="1:15">
      <c r="A31" s="27"/>
      <c r="B31" s="27"/>
      <c r="C31" s="27"/>
      <c r="D31" s="27"/>
      <c r="E31" s="27"/>
      <c r="F31" s="27"/>
    </row>
    <row r="32" spans="1:15">
      <c r="A32" s="27"/>
      <c r="B32" s="27"/>
      <c r="C32" s="27"/>
      <c r="D32" s="27"/>
      <c r="E32" s="27"/>
      <c r="F32" s="27"/>
      <c r="M32" s="76"/>
      <c r="N32" s="76"/>
      <c r="O32" s="76"/>
    </row>
    <row r="33" spans="1:15">
      <c r="A33" s="27"/>
      <c r="B33" s="27"/>
      <c r="C33" s="27"/>
      <c r="D33" s="27"/>
      <c r="E33" s="27"/>
      <c r="F33" s="27"/>
      <c r="K33" s="19"/>
      <c r="M33" s="20"/>
      <c r="N33" s="20"/>
      <c r="O33" s="20"/>
    </row>
    <row r="34" spans="1:15">
      <c r="A34" s="27"/>
      <c r="B34" s="27"/>
      <c r="C34" s="27"/>
      <c r="D34" s="27"/>
      <c r="E34" s="27"/>
      <c r="F34" s="27"/>
      <c r="H34" s="9" t="s">
        <v>24</v>
      </c>
      <c r="I34" s="76">
        <f>0.65+(0.01*I30)</f>
        <v>0.98</v>
      </c>
      <c r="J34" s="76"/>
      <c r="K34" s="76"/>
      <c r="M34" s="10" t="str">
        <f>" = 0,65+(0,01*" &amp; O12 &amp; ")"</f>
        <v xml:space="preserve"> = 0,65+(0,01*99)</v>
      </c>
    </row>
    <row r="35" spans="1:15">
      <c r="A35" s="27"/>
      <c r="B35" s="27"/>
      <c r="C35" s="27"/>
      <c r="D35" s="27"/>
      <c r="E35" s="27"/>
      <c r="F35" s="27"/>
      <c r="H35" s="9"/>
      <c r="J35" s="10"/>
      <c r="K35" s="19"/>
    </row>
    <row r="36" spans="1:15">
      <c r="A36" s="27"/>
      <c r="B36" s="27"/>
      <c r="C36" s="27"/>
      <c r="D36" s="27"/>
      <c r="E36" s="27"/>
      <c r="F36" s="27"/>
      <c r="H36" s="9" t="s">
        <v>25</v>
      </c>
      <c r="I36" s="76">
        <f>I34*O12</f>
        <v>97.02</v>
      </c>
      <c r="J36" s="76"/>
      <c r="K36" s="76"/>
      <c r="L36" s="21"/>
      <c r="M36" s="10" t="str">
        <f>"= ("&amp; I34 &amp; " * " &amp;I30 &amp;")"</f>
        <v>= (0,98 * 33)</v>
      </c>
    </row>
    <row r="37" spans="1:15">
      <c r="A37" s="27"/>
      <c r="B37" s="27"/>
      <c r="C37" s="27"/>
      <c r="D37" s="27"/>
      <c r="E37" s="27"/>
      <c r="F37" s="27"/>
      <c r="H37" s="9"/>
      <c r="J37" s="10"/>
      <c r="K37" s="19"/>
    </row>
    <row r="38" spans="1:15">
      <c r="A38" s="27"/>
      <c r="B38" s="27"/>
      <c r="C38" s="27"/>
      <c r="D38" s="27"/>
      <c r="E38" s="27"/>
      <c r="F38" s="27"/>
      <c r="H38" s="9" t="s">
        <v>26</v>
      </c>
      <c r="I38" s="84">
        <v>10000</v>
      </c>
      <c r="J38" s="84"/>
      <c r="K38" s="84"/>
      <c r="L38" s="84"/>
    </row>
    <row r="39" spans="1:15">
      <c r="A39" s="27"/>
      <c r="B39" s="27"/>
      <c r="C39" s="27"/>
      <c r="D39" s="27"/>
      <c r="E39" s="27"/>
      <c r="F39" s="27"/>
      <c r="H39" s="9"/>
      <c r="J39" s="10"/>
      <c r="K39" s="19"/>
    </row>
    <row r="40" spans="1:15" ht="15.75">
      <c r="A40" s="9"/>
      <c r="H40" s="9" t="s">
        <v>6</v>
      </c>
      <c r="I40" s="85">
        <f>I36*I38</f>
        <v>970200</v>
      </c>
      <c r="J40" s="85"/>
      <c r="K40" s="85"/>
      <c r="L40" s="85"/>
    </row>
    <row r="41" spans="1:15">
      <c r="A41" s="9"/>
      <c r="H41" s="9"/>
      <c r="J41" s="10"/>
      <c r="K41" s="19"/>
    </row>
    <row r="42" spans="1:15">
      <c r="H42" s="9"/>
      <c r="I42" s="22"/>
      <c r="J42" s="23"/>
      <c r="K42" s="19"/>
    </row>
    <row r="43" spans="1:15">
      <c r="A43" s="9"/>
      <c r="B43" s="50"/>
      <c r="K43" s="19"/>
    </row>
    <row r="44" spans="1:15">
      <c r="K44" s="19"/>
    </row>
    <row r="45" spans="1:15">
      <c r="B45" s="51"/>
      <c r="K45" s="19"/>
    </row>
    <row r="46" spans="1:15">
      <c r="K46" s="19"/>
    </row>
    <row r="47" spans="1:15">
      <c r="K47" s="19"/>
    </row>
    <row r="48" spans="1:15">
      <c r="K48" s="19"/>
    </row>
    <row r="49" spans="11:11">
      <c r="K49" s="19"/>
    </row>
    <row r="50" spans="11:11">
      <c r="K50" s="19"/>
    </row>
  </sheetData>
  <mergeCells count="13">
    <mergeCell ref="I34:K34"/>
    <mergeCell ref="I36:K36"/>
    <mergeCell ref="I38:L38"/>
    <mergeCell ref="I40:L40"/>
    <mergeCell ref="H2:P2"/>
    <mergeCell ref="I4:N4"/>
    <mergeCell ref="O4:O5"/>
    <mergeCell ref="M32:O32"/>
    <mergeCell ref="H4:H5"/>
    <mergeCell ref="I12:N12"/>
    <mergeCell ref="M5:N5"/>
    <mergeCell ref="K5:L5"/>
    <mergeCell ref="I5:J5"/>
  </mergeCells>
  <phoneticPr fontId="2" type="noConversion"/>
  <dataValidations count="2">
    <dataValidation type="list" operator="equal" allowBlank="1" showInputMessage="1" showErrorMessage="1" sqref="C19:C20 C3:C17">
      <formula1>"ALTA,MEDIA,BAJA"</formula1>
    </dataValidation>
    <dataValidation type="list" allowBlank="1" showInputMessage="1" showErrorMessage="1" sqref="B3:B20">
      <formula1>"ENTRADA,SALIDA,CONSULTA,ARCHIVO,INTERFACE"</formula1>
    </dataValidation>
  </dataValidations>
  <pageMargins left="0.75" right="0.75" top="1.33" bottom="1" header="0.5" footer="0"/>
  <pageSetup orientation="portrait" horizontalDpi="300" verticalDpi="300" r:id="rId2"/>
  <headerFooter alignWithMargins="0">
    <oddHeader>&amp;CSISTEMA COLEGIO SANTA ANA
CALCULO COSTO&amp;R&amp;D</oddHeader>
  </headerFooter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 enableFormatConditionsCalculation="0">
    <tabColor indexed="47"/>
  </sheetPr>
  <dimension ref="A1:S50"/>
  <sheetViews>
    <sheetView showGridLines="0" topLeftCell="A6" workbookViewId="0">
      <selection activeCell="H44" sqref="H44"/>
    </sheetView>
  </sheetViews>
  <sheetFormatPr baseColWidth="10" defaultRowHeight="12.75"/>
  <cols>
    <col min="1" max="1" width="23.42578125" style="8" customWidth="1"/>
    <col min="2" max="3" width="11.7109375" style="8" customWidth="1"/>
    <col min="4" max="4" width="8.140625" style="8" customWidth="1"/>
    <col min="5" max="5" width="14.85546875" style="8" customWidth="1"/>
    <col min="6" max="6" width="9" style="8" customWidth="1"/>
    <col min="7" max="7" width="8.85546875" style="8" customWidth="1"/>
    <col min="8" max="8" width="38" style="8" customWidth="1"/>
    <col min="9" max="14" width="3.7109375" style="8" customWidth="1"/>
    <col min="15" max="15" width="7.7109375" style="8" customWidth="1"/>
    <col min="16" max="16" width="11.42578125" style="8"/>
    <col min="17" max="17" width="38.42578125" style="9" customWidth="1"/>
    <col min="18" max="18" width="16" style="8" customWidth="1"/>
    <col min="19" max="19" width="13.85546875" style="10" customWidth="1"/>
    <col min="20" max="16384" width="11.42578125" style="8"/>
  </cols>
  <sheetData>
    <row r="1" spans="1:16" ht="31.5" customHeight="1">
      <c r="A1" s="57" t="s">
        <v>85</v>
      </c>
      <c r="B1" s="58" t="s">
        <v>86</v>
      </c>
      <c r="C1" s="5"/>
      <c r="D1" s="6"/>
      <c r="E1" s="7"/>
      <c r="F1" s="7"/>
    </row>
    <row r="2" spans="1:16">
      <c r="A2" s="11"/>
      <c r="B2" s="11" t="s">
        <v>29</v>
      </c>
      <c r="C2" s="11" t="s">
        <v>27</v>
      </c>
      <c r="D2" s="6"/>
      <c r="E2" s="6"/>
      <c r="F2" s="7"/>
      <c r="H2" s="76" t="s">
        <v>0</v>
      </c>
      <c r="I2" s="76"/>
      <c r="J2" s="76"/>
      <c r="K2" s="76"/>
      <c r="L2" s="76"/>
      <c r="M2" s="76"/>
      <c r="N2" s="76"/>
      <c r="O2" s="76"/>
      <c r="P2" s="76"/>
    </row>
    <row r="3" spans="1:16">
      <c r="A3" s="1" t="s">
        <v>72</v>
      </c>
      <c r="B3" s="1" t="s">
        <v>31</v>
      </c>
      <c r="C3" s="1" t="s">
        <v>38</v>
      </c>
      <c r="D3" s="6"/>
      <c r="E3" s="48"/>
      <c r="F3" s="7"/>
    </row>
    <row r="4" spans="1:16">
      <c r="A4" s="1" t="s">
        <v>73</v>
      </c>
      <c r="B4" s="1" t="s">
        <v>31</v>
      </c>
      <c r="C4" s="1" t="s">
        <v>38</v>
      </c>
      <c r="D4" s="6"/>
      <c r="E4" s="48"/>
      <c r="F4" s="7"/>
      <c r="H4" s="82" t="s">
        <v>1</v>
      </c>
      <c r="I4" s="77" t="s">
        <v>2</v>
      </c>
      <c r="J4" s="78"/>
      <c r="K4" s="78"/>
      <c r="L4" s="78"/>
      <c r="M4" s="78"/>
      <c r="N4" s="79"/>
      <c r="O4" s="80" t="s">
        <v>6</v>
      </c>
    </row>
    <row r="5" spans="1:16">
      <c r="A5" s="1" t="s">
        <v>74</v>
      </c>
      <c r="B5" s="1" t="s">
        <v>31</v>
      </c>
      <c r="C5" s="1" t="s">
        <v>28</v>
      </c>
      <c r="D5" s="6"/>
      <c r="E5" s="48"/>
      <c r="F5" s="7"/>
      <c r="H5" s="82"/>
      <c r="I5" s="77" t="s">
        <v>3</v>
      </c>
      <c r="J5" s="79"/>
      <c r="K5" s="77" t="s">
        <v>4</v>
      </c>
      <c r="L5" s="79"/>
      <c r="M5" s="77" t="s">
        <v>5</v>
      </c>
      <c r="N5" s="79"/>
      <c r="O5" s="81"/>
    </row>
    <row r="6" spans="1:16" ht="14.25">
      <c r="A6" s="1" t="s">
        <v>84</v>
      </c>
      <c r="B6" s="1" t="s">
        <v>31</v>
      </c>
      <c r="C6" s="1" t="s">
        <v>28</v>
      </c>
      <c r="D6" s="6"/>
      <c r="E6" s="48"/>
      <c r="F6" s="7"/>
      <c r="H6" s="12" t="s">
        <v>30</v>
      </c>
      <c r="I6" s="38">
        <f>IF(ISERROR(GETPIVOTDATA("TIPO",$A$31,"TIPO",H6,"COMPLEJIDAD","BAJA")),0,GETPIVOTDATA("TIPO",$A$31,"TIPO",H6,"COMPLEJIDAD","BAJA"))</f>
        <v>1</v>
      </c>
      <c r="J6" s="39">
        <v>3</v>
      </c>
      <c r="K6" s="38">
        <f>IF(ISERROR(GETPIVOTDATA("TIPO",$A$31,"TIPO",H6,"COMPLEJIDAD","MEDIA")),0,GETPIVOTDATA("TIPO",$A$31,"TIPO",H6,"COMPLEJIDAD","MEDIA"))</f>
        <v>4</v>
      </c>
      <c r="L6" s="39">
        <v>4</v>
      </c>
      <c r="M6" s="38">
        <f>IF(ISERROR(GETPIVOTDATA("TIPO",$A$31,"TIPO",H6,"COMPLEJIDAD","ALTA")),0,GETPIVOTDATA("TIPO",$A$31,"TIPO",H6,"COMPLEJIDAD","ALTA"))</f>
        <v>1</v>
      </c>
      <c r="N6" s="39">
        <v>6</v>
      </c>
      <c r="O6" s="13">
        <f>(I6*J6)+(K6*L6)+(M6*N6)</f>
        <v>25</v>
      </c>
    </row>
    <row r="7" spans="1:16" ht="14.25">
      <c r="A7" s="55" t="s">
        <v>68</v>
      </c>
      <c r="B7" s="1" t="s">
        <v>30</v>
      </c>
      <c r="C7" s="1" t="s">
        <v>5</v>
      </c>
      <c r="D7" s="6"/>
      <c r="E7" s="48"/>
      <c r="F7" s="7"/>
      <c r="H7" s="12" t="s">
        <v>32</v>
      </c>
      <c r="I7" s="38">
        <f>IF(ISERROR(GETPIVOTDATA("TIPO",$A$31,"TIPO",H7,"COMPLEJIDAD","BAJA")),0,GETPIVOTDATA("TIPO",$A$31,"TIPO",H7,"COMPLEJIDAD","BAJA"))</f>
        <v>6</v>
      </c>
      <c r="J7" s="39">
        <v>4</v>
      </c>
      <c r="K7" s="38">
        <f>IF(ISERROR(GETPIVOTDATA("TIPO",$A$31,"TIPO",H7,"COMPLEJIDAD","MEDIA")),0,GETPIVOTDATA("TIPO",$A$31,"TIPO",H7,"COMPLEJIDAD","MEDIA"))</f>
        <v>2</v>
      </c>
      <c r="L7" s="39">
        <v>5</v>
      </c>
      <c r="M7" s="38">
        <f>IF(ISERROR(GETPIVOTDATA("TIPO",$A$31,"TIPO",H7,"COMPLEJIDAD","ALTA")),0,GETPIVOTDATA("TIPO",$A$31,"TIPO",H7,"COMPLEJIDAD","ALTA"))</f>
        <v>0</v>
      </c>
      <c r="N7" s="39">
        <v>7</v>
      </c>
      <c r="O7" s="13">
        <f>(I7*J7)+(K7*L7)+(M7*N7)</f>
        <v>34</v>
      </c>
    </row>
    <row r="8" spans="1:16" ht="14.25">
      <c r="A8" s="1" t="s">
        <v>69</v>
      </c>
      <c r="B8" s="1" t="s">
        <v>30</v>
      </c>
      <c r="C8" s="1" t="s">
        <v>38</v>
      </c>
      <c r="D8" s="6"/>
      <c r="E8" s="48"/>
      <c r="F8" s="7"/>
      <c r="H8" s="12" t="s">
        <v>35</v>
      </c>
      <c r="I8" s="38">
        <f>IF(ISERROR(GETPIVOTDATA("TIPO",$A$31,"TIPO",H8,"COMPLEJIDAD","BAJA")),0,GETPIVOTDATA("TIPO",$A$31,"TIPO",H8,"COMPLEJIDAD","BAJA"))</f>
        <v>0</v>
      </c>
      <c r="J8" s="39">
        <v>3</v>
      </c>
      <c r="K8" s="38">
        <f>IF(ISERROR(GETPIVOTDATA("TIPO",$A$31,"TIPO",H8,"COMPLEJIDAD","MEDIA")),0,GETPIVOTDATA("TIPO",$A$31,"TIPO",H8,"COMPLEJIDAD","MEDIA"))</f>
        <v>0</v>
      </c>
      <c r="L8" s="39">
        <v>4</v>
      </c>
      <c r="M8" s="38">
        <f>IF(ISERROR(GETPIVOTDATA("TIPO",$A$31,"TIPO",H8,"COMPLEJIDAD","ALTA")),0,GETPIVOTDATA("TIPO",$A$31,"TIPO",H8,"COMPLEJIDAD","ALTA"))</f>
        <v>0</v>
      </c>
      <c r="N8" s="39">
        <v>6</v>
      </c>
      <c r="O8" s="13">
        <f>(I8*J8)+(K8*L8)+(M8*N8)</f>
        <v>0</v>
      </c>
    </row>
    <row r="9" spans="1:16" ht="14.25">
      <c r="A9" s="1" t="s">
        <v>71</v>
      </c>
      <c r="B9" s="1" t="s">
        <v>30</v>
      </c>
      <c r="C9" s="1" t="s">
        <v>38</v>
      </c>
      <c r="D9" s="6"/>
      <c r="E9" s="48"/>
      <c r="F9" s="7"/>
      <c r="H9" s="12" t="s">
        <v>31</v>
      </c>
      <c r="I9" s="38">
        <f>IF(ISERROR(GETPIVOTDATA("TIPO",$A$31,"TIPO",H9,"COMPLEJIDAD","BAJA")),0,GETPIVOTDATA("TIPO",$A$31,"TIPO",H9,"COMPLEJIDAD","BAJA"))</f>
        <v>2</v>
      </c>
      <c r="J9" s="39">
        <v>7</v>
      </c>
      <c r="K9" s="38">
        <f>IF(ISERROR(GETPIVOTDATA("TIPO",$A$31,"TIPO",H9,"COMPLEJIDAD","MEDIA")),0,GETPIVOTDATA("TIPO",$A$31,"TIPO",H9,"COMPLEJIDAD","MEDIA"))</f>
        <v>2</v>
      </c>
      <c r="L9" s="39">
        <v>10</v>
      </c>
      <c r="M9" s="38">
        <f>IF(ISERROR(GETPIVOTDATA("TIPO",$A$31,"TIPO",H9,"COMPLEJIDAD","ALTA")),0,GETPIVOTDATA("TIPO",$A$31,"TIPO",H9,"COMPLEJIDAD","ALTA"))</f>
        <v>0</v>
      </c>
      <c r="N9" s="39">
        <v>15</v>
      </c>
      <c r="O9" s="13">
        <f>(I9*J9)+(K9*L9)+(M9*N9)</f>
        <v>34</v>
      </c>
    </row>
    <row r="10" spans="1:16" ht="14.25">
      <c r="A10" s="1" t="s">
        <v>74</v>
      </c>
      <c r="B10" s="1" t="s">
        <v>30</v>
      </c>
      <c r="C10" s="1" t="s">
        <v>38</v>
      </c>
      <c r="D10" s="6"/>
      <c r="E10" s="48"/>
      <c r="F10" s="7"/>
      <c r="H10" s="12" t="s">
        <v>36</v>
      </c>
      <c r="I10" s="38">
        <f>IF(ISERROR(GETPIVOTDATA("TIPO",$A$31,"TIPO",H10,"COMPLEJIDAD","BAJA")),0,GETPIVOTDATA("TIPO",$A$31,"TIPO",H10,"COMPLEJIDAD","BAJA"))</f>
        <v>0</v>
      </c>
      <c r="J10" s="39">
        <v>5</v>
      </c>
      <c r="K10" s="38">
        <f>IF(ISERROR(GETPIVOTDATA("TIPO",$A$31,"TIPO",H10,"COMPLEJIDAD","MEDIA")),0,GETPIVOTDATA("TIPO",$A$31,"TIPO",H10,"COMPLEJIDAD","MEDIA"))</f>
        <v>1</v>
      </c>
      <c r="L10" s="39">
        <v>7</v>
      </c>
      <c r="M10" s="38">
        <f>IF(ISERROR(GETPIVOTDATA("TIPO",$A$31,"TIPO",H10,"COMPLEJIDAD","ALTA")),0,GETPIVOTDATA("TIPO",$A$31,"TIPO",H10,"COMPLEJIDAD","ALTA"))</f>
        <v>1</v>
      </c>
      <c r="N10" s="39">
        <v>10</v>
      </c>
      <c r="O10" s="13">
        <f>(I10*J10)+(K10*L10)+(M10*N10)</f>
        <v>17</v>
      </c>
    </row>
    <row r="11" spans="1:16">
      <c r="A11" s="1" t="s">
        <v>70</v>
      </c>
      <c r="B11" s="1" t="s">
        <v>36</v>
      </c>
      <c r="C11" s="1" t="s">
        <v>5</v>
      </c>
      <c r="D11" s="6"/>
      <c r="E11" s="48"/>
      <c r="F11" s="7"/>
    </row>
    <row r="12" spans="1:16">
      <c r="A12" s="56" t="s">
        <v>75</v>
      </c>
      <c r="B12" s="1" t="s">
        <v>36</v>
      </c>
      <c r="C12" s="1" t="s">
        <v>38</v>
      </c>
      <c r="D12" s="6"/>
      <c r="E12" s="48"/>
      <c r="F12" s="7"/>
      <c r="I12" s="83" t="s">
        <v>7</v>
      </c>
      <c r="J12" s="83"/>
      <c r="K12" s="83"/>
      <c r="L12" s="83"/>
      <c r="M12" s="83"/>
      <c r="N12" s="83"/>
      <c r="O12" s="14">
        <f>SUM(O6:O11)</f>
        <v>110</v>
      </c>
    </row>
    <row r="13" spans="1:16">
      <c r="A13" s="1" t="s">
        <v>76</v>
      </c>
      <c r="B13" s="1" t="s">
        <v>32</v>
      </c>
      <c r="C13" s="1" t="s">
        <v>38</v>
      </c>
      <c r="D13" s="6"/>
      <c r="E13" s="48"/>
      <c r="F13" s="7"/>
    </row>
    <row r="14" spans="1:16">
      <c r="A14" s="1" t="s">
        <v>77</v>
      </c>
      <c r="B14" s="1" t="s">
        <v>32</v>
      </c>
      <c r="C14" s="1" t="s">
        <v>28</v>
      </c>
      <c r="D14" s="6"/>
      <c r="E14" s="48"/>
      <c r="F14" s="7"/>
      <c r="H14" s="12"/>
      <c r="I14" s="12" t="s">
        <v>22</v>
      </c>
    </row>
    <row r="15" spans="1:16">
      <c r="A15" s="1" t="s">
        <v>78</v>
      </c>
      <c r="B15" s="1" t="s">
        <v>30</v>
      </c>
      <c r="C15" s="1" t="s">
        <v>38</v>
      </c>
      <c r="D15" s="6"/>
      <c r="E15" s="48"/>
      <c r="F15" s="7"/>
      <c r="H15" s="12" t="s">
        <v>8</v>
      </c>
      <c r="I15" s="15">
        <v>3</v>
      </c>
    </row>
    <row r="16" spans="1:16">
      <c r="A16" s="4" t="s">
        <v>79</v>
      </c>
      <c r="B16" s="1" t="s">
        <v>32</v>
      </c>
      <c r="C16" s="1" t="s">
        <v>38</v>
      </c>
      <c r="D16" s="6"/>
      <c r="E16" s="48"/>
      <c r="F16" s="7"/>
      <c r="H16" s="12" t="s">
        <v>9</v>
      </c>
      <c r="I16" s="15">
        <v>1</v>
      </c>
    </row>
    <row r="17" spans="1:15">
      <c r="A17" s="4" t="s">
        <v>80</v>
      </c>
      <c r="B17" s="1" t="s">
        <v>30</v>
      </c>
      <c r="C17" s="1" t="s">
        <v>28</v>
      </c>
      <c r="D17" s="6"/>
      <c r="E17" s="48"/>
      <c r="F17" s="7"/>
      <c r="H17" s="12" t="s">
        <v>10</v>
      </c>
      <c r="I17" s="15">
        <v>2</v>
      </c>
    </row>
    <row r="18" spans="1:15">
      <c r="A18" s="1" t="s">
        <v>81</v>
      </c>
      <c r="B18" s="1" t="s">
        <v>32</v>
      </c>
      <c r="C18" s="1" t="s">
        <v>28</v>
      </c>
      <c r="D18" s="6"/>
      <c r="E18" s="48"/>
      <c r="F18" s="7"/>
      <c r="H18" s="12" t="s">
        <v>11</v>
      </c>
      <c r="I18" s="15">
        <v>2</v>
      </c>
    </row>
    <row r="19" spans="1:15">
      <c r="A19" s="1" t="s">
        <v>82</v>
      </c>
      <c r="B19" s="1" t="s">
        <v>32</v>
      </c>
      <c r="C19" s="1" t="s">
        <v>28</v>
      </c>
      <c r="D19" s="6"/>
      <c r="E19" s="48"/>
      <c r="F19" s="7"/>
      <c r="H19" s="12" t="s">
        <v>12</v>
      </c>
      <c r="I19" s="15">
        <v>3</v>
      </c>
    </row>
    <row r="20" spans="1:15">
      <c r="A20" s="1" t="s">
        <v>83</v>
      </c>
      <c r="B20" s="1" t="s">
        <v>32</v>
      </c>
      <c r="C20" s="1" t="s">
        <v>28</v>
      </c>
      <c r="D20" s="6"/>
      <c r="E20" s="48"/>
      <c r="F20" s="7"/>
      <c r="H20" s="12" t="s">
        <v>13</v>
      </c>
      <c r="I20" s="15">
        <v>2</v>
      </c>
    </row>
    <row r="21" spans="1:15" ht="15">
      <c r="A21" s="1" t="s">
        <v>87</v>
      </c>
      <c r="B21" s="1" t="s">
        <v>32</v>
      </c>
      <c r="C21" s="1" t="s">
        <v>28</v>
      </c>
      <c r="D21" s="7"/>
      <c r="E21" s="3"/>
      <c r="F21" s="7"/>
      <c r="H21" s="12" t="s">
        <v>14</v>
      </c>
      <c r="I21" s="15">
        <v>3</v>
      </c>
    </row>
    <row r="22" spans="1:15">
      <c r="A22" s="1" t="s">
        <v>88</v>
      </c>
      <c r="B22" s="1" t="s">
        <v>32</v>
      </c>
      <c r="C22" s="1" t="s">
        <v>28</v>
      </c>
      <c r="D22" s="27"/>
      <c r="E22" s="28"/>
      <c r="F22" s="27"/>
      <c r="H22" s="12" t="s">
        <v>15</v>
      </c>
      <c r="I22" s="15">
        <v>2</v>
      </c>
    </row>
    <row r="23" spans="1:15">
      <c r="A23" s="1"/>
      <c r="B23" s="1"/>
      <c r="C23" s="1"/>
      <c r="F23" s="27"/>
      <c r="H23" s="12" t="s">
        <v>16</v>
      </c>
      <c r="I23" s="15">
        <v>3</v>
      </c>
    </row>
    <row r="24" spans="1:15">
      <c r="A24" s="1"/>
      <c r="B24" s="1"/>
      <c r="C24" s="1"/>
      <c r="F24" s="27"/>
      <c r="H24" s="12" t="s">
        <v>17</v>
      </c>
      <c r="I24" s="15">
        <v>2</v>
      </c>
    </row>
    <row r="25" spans="1:15">
      <c r="A25" s="1"/>
      <c r="B25" s="1"/>
      <c r="C25" s="1"/>
      <c r="F25" s="27"/>
      <c r="H25" s="12" t="s">
        <v>18</v>
      </c>
      <c r="I25" s="15">
        <v>3</v>
      </c>
    </row>
    <row r="26" spans="1:15">
      <c r="A26" s="1"/>
      <c r="B26" s="1"/>
      <c r="C26" s="1"/>
      <c r="F26" s="27"/>
      <c r="H26" s="12" t="s">
        <v>19</v>
      </c>
      <c r="I26" s="15">
        <v>2</v>
      </c>
    </row>
    <row r="27" spans="1:15">
      <c r="A27" s="1"/>
      <c r="B27" s="1"/>
      <c r="C27" s="1"/>
      <c r="F27" s="27"/>
      <c r="H27" s="12" t="s">
        <v>20</v>
      </c>
      <c r="I27" s="15">
        <v>3</v>
      </c>
    </row>
    <row r="28" spans="1:15">
      <c r="F28" s="27"/>
      <c r="H28" s="12" t="s">
        <v>21</v>
      </c>
      <c r="I28" s="15">
        <v>2</v>
      </c>
    </row>
    <row r="29" spans="1:15">
      <c r="F29" s="27"/>
    </row>
    <row r="30" spans="1:15">
      <c r="A30"/>
      <c r="B30"/>
      <c r="C30"/>
      <c r="D30"/>
      <c r="E30"/>
      <c r="F30" s="27"/>
      <c r="H30" s="8" t="s">
        <v>23</v>
      </c>
      <c r="I30" s="18">
        <f>SUM(I15:I28)</f>
        <v>33</v>
      </c>
    </row>
    <row r="31" spans="1:15">
      <c r="A31" s="29" t="s">
        <v>33</v>
      </c>
      <c r="B31" s="29" t="s">
        <v>27</v>
      </c>
      <c r="C31" s="40"/>
      <c r="D31" s="40"/>
      <c r="E31" s="30"/>
      <c r="F31" s="27"/>
    </row>
    <row r="32" spans="1:15">
      <c r="A32" s="29" t="s">
        <v>29</v>
      </c>
      <c r="B32" s="31" t="s">
        <v>28</v>
      </c>
      <c r="C32" s="41" t="s">
        <v>38</v>
      </c>
      <c r="D32" s="41" t="s">
        <v>5</v>
      </c>
      <c r="E32" s="32" t="s">
        <v>34</v>
      </c>
      <c r="F32" s="27"/>
      <c r="M32" s="76"/>
      <c r="N32" s="76"/>
      <c r="O32" s="76"/>
    </row>
    <row r="33" spans="1:15">
      <c r="A33" s="31" t="s">
        <v>30</v>
      </c>
      <c r="B33" s="33">
        <v>1</v>
      </c>
      <c r="C33" s="42">
        <v>4</v>
      </c>
      <c r="D33" s="42">
        <v>1</v>
      </c>
      <c r="E33" s="34">
        <v>6</v>
      </c>
      <c r="F33" s="27"/>
      <c r="K33" s="19"/>
      <c r="M33" s="20"/>
      <c r="N33" s="20"/>
      <c r="O33" s="20"/>
    </row>
    <row r="34" spans="1:15">
      <c r="A34" s="43" t="s">
        <v>32</v>
      </c>
      <c r="B34" s="44">
        <v>6</v>
      </c>
      <c r="C34" s="45">
        <v>2</v>
      </c>
      <c r="D34" s="45">
        <v>0</v>
      </c>
      <c r="E34" s="46">
        <v>8</v>
      </c>
      <c r="F34" s="27"/>
      <c r="H34" s="9" t="s">
        <v>24</v>
      </c>
      <c r="I34" s="76">
        <f>0.65+(0.01*I30)</f>
        <v>0.98</v>
      </c>
      <c r="J34" s="76"/>
      <c r="K34" s="76"/>
      <c r="M34" s="10" t="str">
        <f>" = 0,65+(0,01*" &amp; O12 &amp; ")"</f>
        <v xml:space="preserve"> = 0,65+(0,01*110)</v>
      </c>
    </row>
    <row r="35" spans="1:15">
      <c r="A35" s="43" t="s">
        <v>31</v>
      </c>
      <c r="B35" s="44">
        <v>2</v>
      </c>
      <c r="C35" s="45">
        <v>2</v>
      </c>
      <c r="D35" s="45">
        <v>0</v>
      </c>
      <c r="E35" s="46">
        <v>4</v>
      </c>
      <c r="F35" s="27"/>
      <c r="H35" s="9"/>
      <c r="J35" s="10"/>
      <c r="K35" s="19"/>
    </row>
    <row r="36" spans="1:15">
      <c r="A36" s="43" t="s">
        <v>36</v>
      </c>
      <c r="B36" s="44">
        <v>0</v>
      </c>
      <c r="C36" s="45">
        <v>1</v>
      </c>
      <c r="D36" s="45">
        <v>1</v>
      </c>
      <c r="E36" s="46">
        <v>2</v>
      </c>
      <c r="F36" s="27"/>
      <c r="H36" s="9" t="s">
        <v>25</v>
      </c>
      <c r="I36" s="76">
        <f>I34*O12</f>
        <v>107.8</v>
      </c>
      <c r="J36" s="76"/>
      <c r="K36" s="76"/>
      <c r="L36" s="21"/>
      <c r="M36" s="10" t="str">
        <f>"= ("&amp; I34 &amp; " * " &amp;I30 &amp;")"</f>
        <v>= (0,98 * 33)</v>
      </c>
    </row>
    <row r="37" spans="1:15">
      <c r="A37" s="35" t="s">
        <v>34</v>
      </c>
      <c r="B37" s="52">
        <v>9</v>
      </c>
      <c r="C37" s="53">
        <v>9</v>
      </c>
      <c r="D37" s="53">
        <v>2</v>
      </c>
      <c r="E37" s="54">
        <v>20</v>
      </c>
      <c r="F37" s="27"/>
      <c r="H37" s="9"/>
      <c r="J37" s="10"/>
      <c r="K37" s="19"/>
    </row>
    <row r="38" spans="1:15">
      <c r="A38" s="27"/>
      <c r="B38" s="27"/>
      <c r="C38" s="27"/>
      <c r="D38" s="27"/>
      <c r="E38" s="27"/>
      <c r="F38" s="27"/>
      <c r="H38" s="9" t="s">
        <v>26</v>
      </c>
      <c r="I38" s="84">
        <v>10300</v>
      </c>
      <c r="J38" s="84"/>
      <c r="K38" s="84"/>
      <c r="L38" s="84"/>
    </row>
    <row r="39" spans="1:15">
      <c r="A39" s="27"/>
      <c r="B39" s="27"/>
      <c r="C39" s="27"/>
      <c r="D39" s="27"/>
      <c r="E39" s="27"/>
      <c r="F39" s="27"/>
      <c r="H39" s="9"/>
      <c r="J39" s="10"/>
      <c r="K39" s="19"/>
    </row>
    <row r="40" spans="1:15" ht="15.75">
      <c r="A40" s="9"/>
      <c r="H40" s="9" t="s">
        <v>6</v>
      </c>
      <c r="I40" s="75">
        <f>I36*I38</f>
        <v>1110340</v>
      </c>
      <c r="J40" s="75"/>
      <c r="K40" s="75"/>
      <c r="L40" s="75"/>
    </row>
    <row r="41" spans="1:15">
      <c r="A41" s="9"/>
      <c r="H41" s="9"/>
      <c r="J41" s="10"/>
      <c r="K41" s="19"/>
    </row>
    <row r="42" spans="1:15">
      <c r="H42" s="9"/>
      <c r="I42" s="22"/>
      <c r="J42" s="23"/>
      <c r="K42" s="19"/>
    </row>
    <row r="43" spans="1:15">
      <c r="A43" s="9"/>
      <c r="B43" s="50"/>
      <c r="K43" s="19"/>
    </row>
    <row r="44" spans="1:15">
      <c r="K44" s="19"/>
    </row>
    <row r="45" spans="1:15">
      <c r="B45" s="51"/>
      <c r="K45" s="19"/>
    </row>
    <row r="46" spans="1:15">
      <c r="K46" s="19"/>
    </row>
    <row r="47" spans="1:15">
      <c r="K47" s="19"/>
    </row>
    <row r="48" spans="1:15">
      <c r="K48" s="19"/>
    </row>
    <row r="49" spans="11:11">
      <c r="K49" s="19"/>
    </row>
    <row r="50" spans="11:11">
      <c r="K50" s="19"/>
    </row>
  </sheetData>
  <mergeCells count="13">
    <mergeCell ref="I34:K34"/>
    <mergeCell ref="I36:K36"/>
    <mergeCell ref="I38:L38"/>
    <mergeCell ref="I40:L40"/>
    <mergeCell ref="H2:P2"/>
    <mergeCell ref="I4:N4"/>
    <mergeCell ref="O4:O5"/>
    <mergeCell ref="M32:O32"/>
    <mergeCell ref="H4:H5"/>
    <mergeCell ref="I12:N12"/>
    <mergeCell ref="M5:N5"/>
    <mergeCell ref="K5:L5"/>
    <mergeCell ref="I5:J5"/>
  </mergeCells>
  <phoneticPr fontId="2" type="noConversion"/>
  <dataValidations count="2">
    <dataValidation type="list" operator="equal" allowBlank="1" showInputMessage="1" showErrorMessage="1" sqref="C3:C20">
      <formula1>"ALTA,MEDIA,BAJA"</formula1>
    </dataValidation>
    <dataValidation type="list" allowBlank="1" showInputMessage="1" showErrorMessage="1" sqref="B3:B20">
      <formula1>"ENTRADA,SALIDA,CONSULTA,ARCHIVO,INTERFACE"</formula1>
    </dataValidation>
  </dataValidations>
  <pageMargins left="0.75" right="0.75" top="1.33" bottom="1" header="0.5" footer="0"/>
  <pageSetup orientation="portrait" horizontalDpi="300" verticalDpi="300" r:id="rId2"/>
  <headerFooter alignWithMargins="0">
    <oddHeader>&amp;CSISTEMA COLEGIO SANTA ANA
CALCULO COSTO&amp;R&amp;D</oddHeader>
  </headerFooter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 enableFormatConditionsCalculation="0">
    <tabColor indexed="47"/>
  </sheetPr>
  <dimension ref="A1:U50"/>
  <sheetViews>
    <sheetView showGridLines="0" tabSelected="1" showRuler="0" view="pageLayout" zoomScale="80" zoomScalePageLayoutView="80" workbookViewId="0">
      <selection activeCell="E24" sqref="E24"/>
    </sheetView>
  </sheetViews>
  <sheetFormatPr baseColWidth="10" defaultColWidth="11.28515625" defaultRowHeight="12.75"/>
  <cols>
    <col min="1" max="1" width="23.42578125" style="8" customWidth="1"/>
    <col min="2" max="3" width="11.7109375" style="8" customWidth="1"/>
    <col min="4" max="4" width="7.140625" style="8" customWidth="1"/>
    <col min="5" max="5" width="14.85546875" style="8" customWidth="1"/>
    <col min="6" max="8" width="6.140625" style="8" customWidth="1"/>
    <col min="9" max="9" width="9.85546875" style="8" customWidth="1"/>
    <col min="10" max="10" width="38" style="8" customWidth="1"/>
    <col min="11" max="16" width="3.7109375" style="8" customWidth="1"/>
    <col min="17" max="17" width="7.7109375" style="8" customWidth="1"/>
    <col min="18" max="18" width="11.28515625" style="8"/>
    <col min="19" max="19" width="38.42578125" style="9" customWidth="1"/>
    <col min="20" max="20" width="16" style="8" customWidth="1"/>
    <col min="21" max="21" width="13.85546875" style="10" customWidth="1"/>
    <col min="22" max="16384" width="11.28515625" style="8"/>
  </cols>
  <sheetData>
    <row r="1" spans="1:18" ht="15">
      <c r="A1" s="87" t="s">
        <v>107</v>
      </c>
      <c r="B1" s="87"/>
      <c r="C1" s="87"/>
      <c r="D1" s="59"/>
      <c r="E1" s="86" t="s">
        <v>108</v>
      </c>
      <c r="F1" s="86"/>
      <c r="G1" s="86"/>
      <c r="H1" s="86"/>
      <c r="I1" s="86"/>
    </row>
    <row r="2" spans="1:18">
      <c r="A2" s="74" t="s">
        <v>127</v>
      </c>
      <c r="B2" s="11" t="s">
        <v>29</v>
      </c>
      <c r="C2" s="11" t="s">
        <v>27</v>
      </c>
      <c r="D2" s="6"/>
      <c r="E2" s="26"/>
      <c r="F2" s="26"/>
      <c r="G2" s="27"/>
      <c r="H2" s="27"/>
      <c r="I2" s="28"/>
      <c r="J2" s="76" t="s">
        <v>0</v>
      </c>
      <c r="K2" s="76"/>
      <c r="L2" s="76"/>
      <c r="M2" s="76"/>
      <c r="N2" s="76"/>
      <c r="O2" s="76"/>
      <c r="P2" s="76"/>
      <c r="Q2" s="76"/>
      <c r="R2" s="76"/>
    </row>
    <row r="3" spans="1:18">
      <c r="A3" s="62" t="s">
        <v>90</v>
      </c>
      <c r="B3" s="62" t="s">
        <v>31</v>
      </c>
      <c r="C3" s="62" t="s">
        <v>38</v>
      </c>
      <c r="D3" s="60"/>
      <c r="E3" s="29" t="s">
        <v>33</v>
      </c>
      <c r="F3" s="73" t="s">
        <v>27</v>
      </c>
      <c r="G3" s="40"/>
      <c r="H3" s="40"/>
      <c r="I3" s="30"/>
    </row>
    <row r="4" spans="1:18">
      <c r="A4" s="62" t="s">
        <v>91</v>
      </c>
      <c r="B4" s="62" t="s">
        <v>31</v>
      </c>
      <c r="C4" s="62" t="s">
        <v>38</v>
      </c>
      <c r="D4" s="60"/>
      <c r="E4" s="29" t="s">
        <v>29</v>
      </c>
      <c r="F4" s="31" t="s">
        <v>28</v>
      </c>
      <c r="G4" s="41" t="s">
        <v>38</v>
      </c>
      <c r="H4" s="41" t="s">
        <v>5</v>
      </c>
      <c r="I4" s="32" t="s">
        <v>34</v>
      </c>
      <c r="J4" s="82" t="s">
        <v>1</v>
      </c>
      <c r="K4" s="77" t="s">
        <v>2</v>
      </c>
      <c r="L4" s="78"/>
      <c r="M4" s="78"/>
      <c r="N4" s="78"/>
      <c r="O4" s="78"/>
      <c r="P4" s="79"/>
      <c r="Q4" s="80" t="s">
        <v>6</v>
      </c>
    </row>
    <row r="5" spans="1:18">
      <c r="A5" s="62" t="s">
        <v>92</v>
      </c>
      <c r="B5" s="62" t="s">
        <v>31</v>
      </c>
      <c r="C5" s="62" t="s">
        <v>38</v>
      </c>
      <c r="D5" s="60"/>
      <c r="E5" s="31" t="s">
        <v>30</v>
      </c>
      <c r="F5" s="64">
        <v>0</v>
      </c>
      <c r="G5" s="65">
        <v>8</v>
      </c>
      <c r="H5" s="65">
        <v>3</v>
      </c>
      <c r="I5" s="66">
        <v>11</v>
      </c>
      <c r="J5" s="82"/>
      <c r="K5" s="77" t="s">
        <v>3</v>
      </c>
      <c r="L5" s="79"/>
      <c r="M5" s="77" t="s">
        <v>4</v>
      </c>
      <c r="N5" s="79"/>
      <c r="O5" s="77" t="s">
        <v>5</v>
      </c>
      <c r="P5" s="79"/>
      <c r="Q5" s="81"/>
    </row>
    <row r="6" spans="1:18" ht="14.25">
      <c r="A6" s="62" t="s">
        <v>93</v>
      </c>
      <c r="B6" s="62" t="s">
        <v>31</v>
      </c>
      <c r="C6" s="62" t="s">
        <v>28</v>
      </c>
      <c r="D6" s="60"/>
      <c r="E6" s="43" t="s">
        <v>31</v>
      </c>
      <c r="F6" s="67">
        <v>4</v>
      </c>
      <c r="G6" s="68">
        <v>12</v>
      </c>
      <c r="H6" s="68">
        <v>2</v>
      </c>
      <c r="I6" s="69">
        <v>18</v>
      </c>
      <c r="J6" s="12" t="s">
        <v>30</v>
      </c>
      <c r="K6" s="38">
        <f>IF(ISERROR(GETPIVOTDATA("TIPO",$E$3,"TIPO",J6,"COMPLEJIDAD","BAJA")),0,GETPIVOTDATA("TIPO",$E$3,"TIPO",J6,"COMPLEJIDAD","BAJA"))</f>
        <v>0</v>
      </c>
      <c r="L6" s="39">
        <v>3</v>
      </c>
      <c r="M6" s="38">
        <f>IF(ISERROR(GETPIVOTDATA("TIPO",$E$3,"TIPO",J6,"COMPLEJIDAD","MEDIA")),0,GETPIVOTDATA("TIPO",$E$3,"TIPO",J6,"COMPLEJIDAD","MEDIA"))</f>
        <v>8</v>
      </c>
      <c r="N6" s="39">
        <v>4</v>
      </c>
      <c r="O6" s="38">
        <f>IF(ISERROR(GETPIVOTDATA("TIPO",$E$3,"TIPO",J6,"COMPLEJIDAD","ALTA")),0,GETPIVOTDATA("TIPO",$E$3,"TIPO",J6,"COMPLEJIDAD","ALTA"))</f>
        <v>3</v>
      </c>
      <c r="P6" s="39">
        <v>6</v>
      </c>
      <c r="Q6" s="13">
        <f>(K6*L6)+(M6*N6)+(O6*P6)</f>
        <v>50</v>
      </c>
    </row>
    <row r="7" spans="1:18" ht="14.25">
      <c r="A7" s="62" t="s">
        <v>94</v>
      </c>
      <c r="B7" s="62" t="s">
        <v>31</v>
      </c>
      <c r="C7" s="62" t="s">
        <v>38</v>
      </c>
      <c r="D7" s="60"/>
      <c r="E7" s="43" t="s">
        <v>32</v>
      </c>
      <c r="F7" s="67">
        <v>0</v>
      </c>
      <c r="G7" s="68">
        <v>7</v>
      </c>
      <c r="H7" s="68">
        <v>0</v>
      </c>
      <c r="I7" s="69">
        <v>7</v>
      </c>
      <c r="J7" s="12" t="s">
        <v>32</v>
      </c>
      <c r="K7" s="38">
        <f>IF(ISERROR(GETPIVOTDATA("TIPO",$E$3,"TIPO",J7,"COMPLEJIDAD","BAJA")),0,GETPIVOTDATA("TIPO",$E$3,"TIPO",J7,"COMPLEJIDAD","BAJA"))</f>
        <v>0</v>
      </c>
      <c r="L7" s="39">
        <v>4</v>
      </c>
      <c r="M7" s="38">
        <f>IF(ISERROR(GETPIVOTDATA("TIPO",$E$3,"TIPO",J7,"COMPLEJIDAD","MEDIA")),0,GETPIVOTDATA("TIPO",$E$3,"TIPO",J7,"COMPLEJIDAD","MEDIA"))</f>
        <v>7</v>
      </c>
      <c r="N7" s="39">
        <v>5</v>
      </c>
      <c r="O7" s="38">
        <f>IF(ISERROR(GETPIVOTDATA("TIPO",$E$3,"TIPO",J7,"COMPLEJIDAD","ALTA")),0,GETPIVOTDATA("TIPO",$E$3,"TIPO",J7,"COMPLEJIDAD","ALTA"))</f>
        <v>0</v>
      </c>
      <c r="P7" s="39">
        <v>7</v>
      </c>
      <c r="Q7" s="13">
        <f>(K7*L7)+(M7*N7)+(O7*P7)</f>
        <v>35</v>
      </c>
    </row>
    <row r="8" spans="1:18" ht="14.25">
      <c r="A8" s="62" t="s">
        <v>56</v>
      </c>
      <c r="B8" s="62" t="s">
        <v>31</v>
      </c>
      <c r="C8" s="62" t="s">
        <v>38</v>
      </c>
      <c r="D8" s="60"/>
      <c r="E8" s="43" t="s">
        <v>36</v>
      </c>
      <c r="F8" s="67">
        <v>0</v>
      </c>
      <c r="G8" s="68">
        <v>7</v>
      </c>
      <c r="H8" s="68">
        <v>1</v>
      </c>
      <c r="I8" s="69">
        <v>8</v>
      </c>
      <c r="J8" s="12" t="s">
        <v>35</v>
      </c>
      <c r="K8" s="38">
        <f>IF(ISERROR(GETPIVOTDATA("TIPO",$E$3,"TIPO",J8,"COMPLEJIDAD","BAJA")),0,GETPIVOTDATA("TIPO",$E$3,"TIPO",J8,"COMPLEJIDAD","BAJA"))</f>
        <v>0</v>
      </c>
      <c r="L8" s="39">
        <v>3</v>
      </c>
      <c r="M8" s="38">
        <f>IF(ISERROR(GETPIVOTDATA("TIPO",$E$3,"TIPO",J8,"COMPLEJIDAD","MEDIA")),0,GETPIVOTDATA("TIPO",$E$3,"TIPO",J8,"COMPLEJIDAD","MEDIA"))</f>
        <v>2</v>
      </c>
      <c r="N8" s="39">
        <v>4</v>
      </c>
      <c r="O8" s="38">
        <f>IF(ISERROR(GETPIVOTDATA("TIPO",$E$3,"TIPO",J8,"COMPLEJIDAD","ALTA")),0,GETPIVOTDATA("TIPO",$E$3,"TIPO",J8,"COMPLEJIDAD","ALTA"))</f>
        <v>0</v>
      </c>
      <c r="P8" s="39">
        <v>6</v>
      </c>
      <c r="Q8" s="13">
        <f>(K8*L8)+(M8*N8)+(O8*P8)</f>
        <v>8</v>
      </c>
    </row>
    <row r="9" spans="1:18" ht="14.25">
      <c r="A9" s="62" t="s">
        <v>55</v>
      </c>
      <c r="B9" s="62" t="s">
        <v>31</v>
      </c>
      <c r="C9" s="62" t="s">
        <v>28</v>
      </c>
      <c r="D9" s="60"/>
      <c r="E9" s="43" t="s">
        <v>35</v>
      </c>
      <c r="F9" s="67">
        <v>0</v>
      </c>
      <c r="G9" s="68">
        <v>2</v>
      </c>
      <c r="H9" s="68">
        <v>0</v>
      </c>
      <c r="I9" s="69">
        <v>2</v>
      </c>
      <c r="J9" s="12" t="s">
        <v>31</v>
      </c>
      <c r="K9" s="38">
        <f>IF(ISERROR(GETPIVOTDATA("TIPO",$E$3,"TIPO",J9,"COMPLEJIDAD","BAJA")),0,GETPIVOTDATA("TIPO",$E$3,"TIPO",J9,"COMPLEJIDAD","BAJA"))</f>
        <v>4</v>
      </c>
      <c r="L9" s="39">
        <v>7</v>
      </c>
      <c r="M9" s="38">
        <f>IF(ISERROR(GETPIVOTDATA("TIPO",$E$3,"TIPO",J9,"COMPLEJIDAD","MEDIA")),0,GETPIVOTDATA("TIPO",$E$3,"TIPO",J9,"COMPLEJIDAD","MEDIA"))</f>
        <v>12</v>
      </c>
      <c r="N9" s="39">
        <v>10</v>
      </c>
      <c r="O9" s="38">
        <f>IF(ISERROR(GETPIVOTDATA("TIPO",$E$3,"TIPO",J9,"COMPLEJIDAD","ALTA")),0,GETPIVOTDATA("TIPO",$E$3,"TIPO",J9,"COMPLEJIDAD","ALTA"))</f>
        <v>2</v>
      </c>
      <c r="P9" s="39">
        <v>15</v>
      </c>
      <c r="Q9" s="13">
        <f>(K9*L9)+(M9*N9)+(O9*P9)</f>
        <v>178</v>
      </c>
    </row>
    <row r="10" spans="1:18" ht="14.25">
      <c r="A10" s="62" t="s">
        <v>57</v>
      </c>
      <c r="B10" s="62" t="s">
        <v>31</v>
      </c>
      <c r="C10" s="62" t="s">
        <v>28</v>
      </c>
      <c r="D10" s="60"/>
      <c r="E10" s="35" t="s">
        <v>34</v>
      </c>
      <c r="F10" s="70">
        <v>4</v>
      </c>
      <c r="G10" s="71">
        <v>36</v>
      </c>
      <c r="H10" s="71">
        <v>6</v>
      </c>
      <c r="I10" s="72">
        <v>46</v>
      </c>
      <c r="J10" s="12" t="s">
        <v>36</v>
      </c>
      <c r="K10" s="38">
        <f>IF(ISERROR(GETPIVOTDATA("TIPO",$E$3,"TIPO",J10,"COMPLEJIDAD","BAJA")),0,GETPIVOTDATA("TIPO",$E$3,"TIPO",J10,"COMPLEJIDAD","BAJA"))</f>
        <v>0</v>
      </c>
      <c r="L10" s="39">
        <v>5</v>
      </c>
      <c r="M10" s="38">
        <f>IF(ISERROR(GETPIVOTDATA("TIPO",$E$3,"TIPO",J10,"COMPLEJIDAD","MEDIA")),0,GETPIVOTDATA("TIPO",$E$3,"TIPO",J10,"COMPLEJIDAD","MEDIA"))</f>
        <v>7</v>
      </c>
      <c r="N10" s="39">
        <v>7</v>
      </c>
      <c r="O10" s="38">
        <f>IF(ISERROR(GETPIVOTDATA("TIPO",$E$3,"TIPO",J10,"COMPLEJIDAD","ALTA")),0,GETPIVOTDATA("TIPO",$E$3,"TIPO",J10,"COMPLEJIDAD","ALTA"))</f>
        <v>1</v>
      </c>
      <c r="P10" s="39">
        <v>10</v>
      </c>
      <c r="Q10" s="13">
        <f>(K10*L10)+(M10*N10)+(O10*P10)</f>
        <v>59</v>
      </c>
    </row>
    <row r="11" spans="1:18">
      <c r="A11" s="62" t="s">
        <v>58</v>
      </c>
      <c r="B11" s="62" t="s">
        <v>31</v>
      </c>
      <c r="C11" s="62" t="s">
        <v>38</v>
      </c>
      <c r="D11" s="60"/>
      <c r="E11" s="6"/>
      <c r="F11" s="48"/>
      <c r="G11" s="7"/>
      <c r="H11" s="7"/>
    </row>
    <row r="12" spans="1:18">
      <c r="A12" s="62" t="s">
        <v>59</v>
      </c>
      <c r="B12" s="62" t="s">
        <v>31</v>
      </c>
      <c r="C12" s="62" t="s">
        <v>5</v>
      </c>
      <c r="D12" s="60"/>
      <c r="E12" s="6"/>
      <c r="F12" s="48"/>
      <c r="G12" s="7"/>
      <c r="H12" s="7"/>
      <c r="K12" s="83" t="s">
        <v>7</v>
      </c>
      <c r="L12" s="83"/>
      <c r="M12" s="83"/>
      <c r="N12" s="83"/>
      <c r="O12" s="83"/>
      <c r="P12" s="83"/>
      <c r="Q12" s="14">
        <f>SUM(Q6:Q11)</f>
        <v>330</v>
      </c>
    </row>
    <row r="13" spans="1:18">
      <c r="A13" s="62" t="s">
        <v>89</v>
      </c>
      <c r="B13" s="62" t="s">
        <v>31</v>
      </c>
      <c r="C13" s="62" t="s">
        <v>28</v>
      </c>
      <c r="D13" s="60"/>
      <c r="E13" s="6"/>
      <c r="F13" s="48"/>
      <c r="G13" s="7"/>
      <c r="H13" s="7"/>
    </row>
    <row r="14" spans="1:18">
      <c r="A14" s="62" t="s">
        <v>60</v>
      </c>
      <c r="B14" s="62" t="s">
        <v>31</v>
      </c>
      <c r="C14" s="62" t="s">
        <v>5</v>
      </c>
      <c r="D14" s="60"/>
      <c r="E14" s="6"/>
      <c r="F14" s="48"/>
      <c r="G14" s="7"/>
      <c r="H14" s="7"/>
      <c r="J14" s="12"/>
      <c r="K14" s="12" t="s">
        <v>22</v>
      </c>
    </row>
    <row r="15" spans="1:18">
      <c r="A15" s="62" t="s">
        <v>95</v>
      </c>
      <c r="B15" s="62" t="s">
        <v>31</v>
      </c>
      <c r="C15" s="62" t="s">
        <v>38</v>
      </c>
      <c r="D15" s="60"/>
      <c r="E15" s="6"/>
      <c r="F15" s="48"/>
      <c r="G15" s="7"/>
      <c r="H15" s="7"/>
      <c r="J15" s="12" t="s">
        <v>8</v>
      </c>
      <c r="K15" s="15">
        <v>3</v>
      </c>
    </row>
    <row r="16" spans="1:18">
      <c r="A16" s="63" t="s">
        <v>96</v>
      </c>
      <c r="B16" s="62" t="s">
        <v>31</v>
      </c>
      <c r="C16" s="62" t="s">
        <v>38</v>
      </c>
      <c r="D16" s="60"/>
      <c r="E16" s="6"/>
      <c r="F16" s="48"/>
      <c r="G16" s="7"/>
      <c r="H16" s="7"/>
      <c r="J16" s="12" t="s">
        <v>9</v>
      </c>
      <c r="K16" s="15">
        <v>1</v>
      </c>
    </row>
    <row r="17" spans="1:17">
      <c r="A17" s="63" t="s">
        <v>113</v>
      </c>
      <c r="B17" s="62" t="s">
        <v>31</v>
      </c>
      <c r="C17" s="62" t="s">
        <v>38</v>
      </c>
      <c r="D17" s="60"/>
      <c r="E17" s="6"/>
      <c r="F17" s="48"/>
      <c r="G17" s="7"/>
      <c r="H17" s="7"/>
      <c r="J17" s="12" t="s">
        <v>10</v>
      </c>
      <c r="K17" s="15">
        <v>2</v>
      </c>
    </row>
    <row r="18" spans="1:17">
      <c r="A18" s="63" t="s">
        <v>116</v>
      </c>
      <c r="B18" s="62" t="s">
        <v>31</v>
      </c>
      <c r="C18" s="62" t="s">
        <v>38</v>
      </c>
      <c r="D18" s="60"/>
      <c r="E18" s="6"/>
      <c r="F18" s="48"/>
      <c r="G18" s="7"/>
      <c r="H18" s="7"/>
      <c r="J18" s="12" t="s">
        <v>11</v>
      </c>
      <c r="K18" s="15">
        <v>2</v>
      </c>
    </row>
    <row r="19" spans="1:17">
      <c r="A19" s="63" t="s">
        <v>117</v>
      </c>
      <c r="B19" s="62" t="s">
        <v>31</v>
      </c>
      <c r="C19" s="62" t="s">
        <v>38</v>
      </c>
      <c r="D19" s="60"/>
      <c r="E19" s="6"/>
      <c r="F19" s="48"/>
      <c r="G19" s="7"/>
      <c r="H19" s="7"/>
      <c r="J19" s="12" t="s">
        <v>12</v>
      </c>
      <c r="K19" s="15">
        <v>3</v>
      </c>
    </row>
    <row r="20" spans="1:17">
      <c r="A20" s="63" t="s">
        <v>131</v>
      </c>
      <c r="B20" s="62" t="s">
        <v>31</v>
      </c>
      <c r="C20" s="62" t="s">
        <v>38</v>
      </c>
      <c r="D20" s="60"/>
      <c r="E20" s="6"/>
      <c r="F20" s="48"/>
      <c r="G20" s="7"/>
      <c r="H20" s="7"/>
      <c r="J20" s="12" t="s">
        <v>13</v>
      </c>
      <c r="K20" s="15">
        <v>2</v>
      </c>
    </row>
    <row r="21" spans="1:17">
      <c r="A21" s="62" t="s">
        <v>111</v>
      </c>
      <c r="B21" s="62" t="s">
        <v>30</v>
      </c>
      <c r="C21" s="62" t="s">
        <v>38</v>
      </c>
      <c r="D21" s="60"/>
      <c r="J21" s="12" t="s">
        <v>14</v>
      </c>
      <c r="K21" s="15">
        <v>3</v>
      </c>
    </row>
    <row r="22" spans="1:17">
      <c r="A22" s="62" t="s">
        <v>110</v>
      </c>
      <c r="B22" s="62" t="s">
        <v>35</v>
      </c>
      <c r="C22" s="62" t="s">
        <v>38</v>
      </c>
      <c r="D22" s="61"/>
      <c r="J22" s="12" t="s">
        <v>15</v>
      </c>
      <c r="K22" s="15">
        <v>2</v>
      </c>
    </row>
    <row r="23" spans="1:17">
      <c r="A23" s="62" t="s">
        <v>97</v>
      </c>
      <c r="B23" s="62" t="s">
        <v>30</v>
      </c>
      <c r="C23" s="62" t="s">
        <v>38</v>
      </c>
      <c r="D23" s="60"/>
      <c r="J23" s="12" t="s">
        <v>16</v>
      </c>
      <c r="K23" s="15">
        <v>3</v>
      </c>
    </row>
    <row r="24" spans="1:17">
      <c r="A24" s="62" t="s">
        <v>98</v>
      </c>
      <c r="B24" s="62" t="s">
        <v>30</v>
      </c>
      <c r="C24" s="62" t="s">
        <v>38</v>
      </c>
      <c r="D24" s="61"/>
      <c r="J24" s="12" t="s">
        <v>17</v>
      </c>
      <c r="K24" s="15">
        <v>2</v>
      </c>
    </row>
    <row r="25" spans="1:17">
      <c r="A25" s="62" t="s">
        <v>99</v>
      </c>
      <c r="B25" s="62" t="s">
        <v>30</v>
      </c>
      <c r="C25" s="62" t="s">
        <v>38</v>
      </c>
      <c r="D25" s="61"/>
      <c r="J25" s="12" t="s">
        <v>18</v>
      </c>
      <c r="K25" s="15">
        <v>3</v>
      </c>
    </row>
    <row r="26" spans="1:17">
      <c r="A26" s="62" t="s">
        <v>100</v>
      </c>
      <c r="B26" s="62" t="s">
        <v>30</v>
      </c>
      <c r="C26" s="62" t="s">
        <v>5</v>
      </c>
      <c r="D26" s="61"/>
      <c r="J26" s="12" t="s">
        <v>19</v>
      </c>
      <c r="K26" s="15">
        <v>2</v>
      </c>
    </row>
    <row r="27" spans="1:17">
      <c r="A27" s="62" t="s">
        <v>101</v>
      </c>
      <c r="B27" s="62" t="s">
        <v>30</v>
      </c>
      <c r="C27" s="62" t="s">
        <v>5</v>
      </c>
      <c r="D27" s="61"/>
      <c r="J27" s="12" t="s">
        <v>20</v>
      </c>
      <c r="K27" s="15">
        <v>3</v>
      </c>
    </row>
    <row r="28" spans="1:17">
      <c r="A28" s="62" t="s">
        <v>102</v>
      </c>
      <c r="B28" s="62" t="s">
        <v>30</v>
      </c>
      <c r="C28" s="62" t="s">
        <v>5</v>
      </c>
      <c r="D28" s="61"/>
      <c r="J28" s="12" t="s">
        <v>21</v>
      </c>
      <c r="K28" s="15">
        <v>2</v>
      </c>
    </row>
    <row r="29" spans="1:17">
      <c r="A29" s="62" t="s">
        <v>103</v>
      </c>
      <c r="B29" s="62" t="s">
        <v>30</v>
      </c>
      <c r="C29" s="62" t="s">
        <v>38</v>
      </c>
      <c r="D29" s="60"/>
    </row>
    <row r="30" spans="1:17">
      <c r="A30" s="62" t="s">
        <v>104</v>
      </c>
      <c r="B30" s="62" t="s">
        <v>30</v>
      </c>
      <c r="C30" s="62" t="s">
        <v>38</v>
      </c>
      <c r="D30" s="60"/>
      <c r="J30" s="8" t="s">
        <v>23</v>
      </c>
      <c r="K30" s="18">
        <f>SUM(K15:K28)</f>
        <v>33</v>
      </c>
    </row>
    <row r="31" spans="1:17">
      <c r="A31" s="62" t="s">
        <v>112</v>
      </c>
      <c r="B31" s="62" t="s">
        <v>35</v>
      </c>
      <c r="C31" s="62" t="s">
        <v>38</v>
      </c>
      <c r="D31" s="60"/>
    </row>
    <row r="32" spans="1:17">
      <c r="A32" s="62" t="s">
        <v>118</v>
      </c>
      <c r="B32" s="62" t="s">
        <v>30</v>
      </c>
      <c r="C32" s="62" t="s">
        <v>38</v>
      </c>
      <c r="D32" s="60"/>
      <c r="O32" s="76"/>
      <c r="P32" s="76"/>
      <c r="Q32" s="76"/>
    </row>
    <row r="33" spans="1:17">
      <c r="A33" s="62" t="s">
        <v>128</v>
      </c>
      <c r="B33" s="62" t="s">
        <v>30</v>
      </c>
      <c r="C33" s="62" t="s">
        <v>38</v>
      </c>
      <c r="D33" s="60"/>
      <c r="M33" s="19"/>
      <c r="O33" s="20"/>
      <c r="P33" s="20"/>
      <c r="Q33" s="20"/>
    </row>
    <row r="34" spans="1:17">
      <c r="A34" s="62" t="s">
        <v>105</v>
      </c>
      <c r="B34" s="62" t="s">
        <v>32</v>
      </c>
      <c r="C34" s="62" t="s">
        <v>38</v>
      </c>
      <c r="D34" s="60"/>
      <c r="E34" s="27"/>
      <c r="F34" s="27"/>
      <c r="G34" s="27"/>
      <c r="H34" s="27"/>
      <c r="J34" s="9" t="s">
        <v>24</v>
      </c>
      <c r="K34" s="76">
        <f>0.65+(0.01*K30)</f>
        <v>0.98</v>
      </c>
      <c r="L34" s="76"/>
      <c r="M34" s="76"/>
      <c r="O34" s="10" t="str">
        <f>" = 0,65+(0,01*" &amp; Q12 &amp; ")"</f>
        <v xml:space="preserve"> = 0,65+(0,01*330)</v>
      </c>
    </row>
    <row r="35" spans="1:17">
      <c r="A35" s="62" t="s">
        <v>106</v>
      </c>
      <c r="B35" s="62" t="s">
        <v>32</v>
      </c>
      <c r="C35" s="62" t="s">
        <v>38</v>
      </c>
      <c r="D35" s="60"/>
      <c r="G35" s="7"/>
      <c r="H35" s="7"/>
      <c r="J35" s="9"/>
      <c r="L35" s="10"/>
      <c r="M35" s="19"/>
    </row>
    <row r="36" spans="1:17">
      <c r="A36" s="62" t="s">
        <v>114</v>
      </c>
      <c r="B36" s="62" t="s">
        <v>32</v>
      </c>
      <c r="C36" s="62" t="s">
        <v>38</v>
      </c>
      <c r="D36" s="60"/>
      <c r="G36" s="27"/>
      <c r="H36" s="27"/>
      <c r="J36" s="9" t="s">
        <v>25</v>
      </c>
      <c r="K36" s="76">
        <f>K34*Q12</f>
        <v>323.39999999999998</v>
      </c>
      <c r="L36" s="76"/>
      <c r="M36" s="76"/>
      <c r="N36" s="21"/>
      <c r="O36" s="10" t="str">
        <f>"= ("&amp; K34 &amp; " * " &amp;K30 &amp;")"</f>
        <v>= (0,98 * 33)</v>
      </c>
    </row>
    <row r="37" spans="1:17">
      <c r="A37" s="62" t="s">
        <v>115</v>
      </c>
      <c r="B37" s="62" t="s">
        <v>32</v>
      </c>
      <c r="C37" s="62" t="s">
        <v>38</v>
      </c>
      <c r="D37" s="60"/>
      <c r="G37" s="27"/>
      <c r="H37" s="27"/>
      <c r="J37" s="9"/>
      <c r="L37" s="10"/>
      <c r="M37" s="19"/>
    </row>
    <row r="38" spans="1:17">
      <c r="A38" s="62" t="s">
        <v>120</v>
      </c>
      <c r="B38" s="62" t="s">
        <v>32</v>
      </c>
      <c r="C38" s="62" t="s">
        <v>38</v>
      </c>
      <c r="D38" s="60"/>
      <c r="G38" s="27"/>
      <c r="H38" s="27"/>
      <c r="J38" s="9" t="s">
        <v>26</v>
      </c>
      <c r="K38" s="84">
        <v>10500</v>
      </c>
      <c r="L38" s="84"/>
      <c r="M38" s="84"/>
      <c r="N38" s="84"/>
    </row>
    <row r="39" spans="1:17">
      <c r="A39" s="62" t="s">
        <v>119</v>
      </c>
      <c r="B39" s="62" t="s">
        <v>32</v>
      </c>
      <c r="C39" s="62" t="s">
        <v>38</v>
      </c>
      <c r="D39" s="60"/>
      <c r="G39" s="27"/>
      <c r="H39" s="27"/>
      <c r="J39" s="9"/>
      <c r="L39" s="10"/>
      <c r="M39" s="19"/>
    </row>
    <row r="40" spans="1:17" ht="15.75">
      <c r="A40" s="62" t="s">
        <v>130</v>
      </c>
      <c r="B40" s="62" t="s">
        <v>32</v>
      </c>
      <c r="C40" s="62" t="s">
        <v>38</v>
      </c>
      <c r="D40" s="60"/>
      <c r="G40" s="27"/>
      <c r="H40" s="27"/>
      <c r="J40" s="9" t="s">
        <v>6</v>
      </c>
      <c r="K40" s="75">
        <f>K36*K38</f>
        <v>3395699.9999999995</v>
      </c>
      <c r="L40" s="75"/>
      <c r="M40" s="75"/>
      <c r="N40" s="75"/>
    </row>
    <row r="41" spans="1:17">
      <c r="A41" s="62" t="s">
        <v>129</v>
      </c>
      <c r="B41" s="62" t="s">
        <v>36</v>
      </c>
      <c r="C41" s="62" t="s">
        <v>38</v>
      </c>
      <c r="D41" s="60"/>
      <c r="G41" s="27"/>
      <c r="H41" s="27"/>
      <c r="J41" s="9"/>
      <c r="L41" s="10"/>
      <c r="M41" s="19"/>
    </row>
    <row r="42" spans="1:17">
      <c r="A42" s="62" t="s">
        <v>125</v>
      </c>
      <c r="B42" s="62" t="s">
        <v>36</v>
      </c>
      <c r="C42" s="62" t="s">
        <v>38</v>
      </c>
      <c r="D42" s="60"/>
      <c r="G42" s="27"/>
      <c r="H42" s="27"/>
      <c r="J42" s="9"/>
      <c r="K42" s="22"/>
      <c r="L42" s="23"/>
      <c r="M42" s="19"/>
    </row>
    <row r="43" spans="1:17">
      <c r="A43" s="62" t="s">
        <v>109</v>
      </c>
      <c r="B43" s="62" t="s">
        <v>36</v>
      </c>
      <c r="C43" s="62" t="s">
        <v>5</v>
      </c>
      <c r="D43" s="60"/>
      <c r="G43" s="27"/>
      <c r="H43" s="27"/>
      <c r="M43" s="19"/>
    </row>
    <row r="44" spans="1:17">
      <c r="A44" s="62" t="s">
        <v>121</v>
      </c>
      <c r="B44" s="62" t="s">
        <v>36</v>
      </c>
      <c r="C44" s="62" t="s">
        <v>38</v>
      </c>
      <c r="D44" s="60"/>
      <c r="E44"/>
      <c r="F44"/>
      <c r="G44" s="27"/>
      <c r="H44" s="27"/>
      <c r="M44" s="19"/>
    </row>
    <row r="45" spans="1:17">
      <c r="A45" s="62" t="s">
        <v>122</v>
      </c>
      <c r="B45" s="62" t="s">
        <v>36</v>
      </c>
      <c r="C45" s="62" t="s">
        <v>38</v>
      </c>
      <c r="D45" s="60"/>
      <c r="E45" s="27"/>
      <c r="F45" s="27"/>
      <c r="G45" s="27"/>
      <c r="H45" s="27"/>
      <c r="M45" s="19"/>
    </row>
    <row r="46" spans="1:17">
      <c r="A46" s="62" t="s">
        <v>123</v>
      </c>
      <c r="B46" s="62" t="s">
        <v>36</v>
      </c>
      <c r="C46" s="62" t="s">
        <v>38</v>
      </c>
      <c r="D46" s="60"/>
      <c r="E46" s="27"/>
      <c r="F46" s="27"/>
      <c r="G46" s="27"/>
      <c r="H46" s="27"/>
      <c r="M46" s="19"/>
    </row>
    <row r="47" spans="1:17">
      <c r="A47" s="62" t="s">
        <v>124</v>
      </c>
      <c r="B47" s="62" t="s">
        <v>36</v>
      </c>
      <c r="C47" s="62" t="s">
        <v>38</v>
      </c>
      <c r="D47" s="60"/>
      <c r="E47" s="27"/>
      <c r="F47" s="27"/>
      <c r="G47" s="27"/>
      <c r="H47" s="27"/>
      <c r="M47" s="19"/>
    </row>
    <row r="48" spans="1:17">
      <c r="A48" s="62" t="s">
        <v>126</v>
      </c>
      <c r="B48" s="62" t="s">
        <v>36</v>
      </c>
      <c r="C48" s="62" t="s">
        <v>38</v>
      </c>
      <c r="D48" s="60"/>
      <c r="M48" s="19"/>
    </row>
    <row r="49" spans="1:13">
      <c r="A49" s="62"/>
      <c r="B49" s="62"/>
      <c r="C49" s="62"/>
      <c r="M49" s="19"/>
    </row>
    <row r="50" spans="1:13">
      <c r="M50" s="19"/>
    </row>
  </sheetData>
  <mergeCells count="15">
    <mergeCell ref="E1:I1"/>
    <mergeCell ref="A1:C1"/>
    <mergeCell ref="J4:J5"/>
    <mergeCell ref="K12:P12"/>
    <mergeCell ref="O5:P5"/>
    <mergeCell ref="M5:N5"/>
    <mergeCell ref="K5:L5"/>
    <mergeCell ref="K40:N40"/>
    <mergeCell ref="J2:R2"/>
    <mergeCell ref="K4:P4"/>
    <mergeCell ref="Q4:Q5"/>
    <mergeCell ref="O32:Q32"/>
    <mergeCell ref="K34:M34"/>
    <mergeCell ref="K36:M36"/>
    <mergeCell ref="K38:N38"/>
  </mergeCells>
  <phoneticPr fontId="2" type="noConversion"/>
  <dataValidations count="2">
    <dataValidation type="list" operator="equal" allowBlank="1" showInputMessage="1" showErrorMessage="1" sqref="D3:D48 C21:C49 C3:C17">
      <formula1>"ALTA,MEDIA,BAJA"</formula1>
    </dataValidation>
    <dataValidation type="list" allowBlank="1" showInputMessage="1" showErrorMessage="1" sqref="B3:B17 B21:B49">
      <formula1>"ENTRADA,SALIDA,CONSULTA,ARCHIVO,INTERFACE"</formula1>
    </dataValidation>
  </dataValidations>
  <pageMargins left="0.5092592592592593" right="0.52083333333333337" top="1.3385826771653544" bottom="0.98425196850393704" header="0.51181102362204722" footer="0"/>
  <pageSetup orientation="portrait" horizontalDpi="300" verticalDpi="300" r:id="rId2"/>
  <headerFooter alignWithMargins="0">
    <oddHeader>&amp;CSISTEMA COLEGIO SANTA ANA
CALCULO COSTO
&amp;A&amp;R&amp;D</oddHeader>
  </headerFooter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base (2)</vt:lpstr>
      <vt:lpstr>MATRICULAR</vt:lpstr>
      <vt:lpstr>COBROS</vt:lpstr>
      <vt:lpstr>NOTAS</vt:lpstr>
      <vt:lpstr>PLANILLA</vt:lpstr>
      <vt:lpstr>'base (2)'!hora_prof</vt:lpstr>
      <vt:lpstr>COBROS!hora_prof</vt:lpstr>
      <vt:lpstr>NOTAS!hora_prof</vt:lpstr>
      <vt:lpstr>PLANILLA!hora_prof</vt:lpstr>
      <vt:lpstr>hora_prof</vt:lpstr>
    </vt:vector>
  </TitlesOfParts>
  <Company>EG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Esquivel</dc:creator>
  <cp:lastModifiedBy>Jose Luis</cp:lastModifiedBy>
  <cp:lastPrinted>2007-03-26T13:57:54Z</cp:lastPrinted>
  <dcterms:created xsi:type="dcterms:W3CDTF">2005-10-27T23:01:20Z</dcterms:created>
  <dcterms:modified xsi:type="dcterms:W3CDTF">2007-03-27T23:15:58Z</dcterms:modified>
</cp:coreProperties>
</file>